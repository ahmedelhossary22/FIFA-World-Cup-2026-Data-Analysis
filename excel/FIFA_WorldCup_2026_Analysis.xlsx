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hmed elhossery\Downloads\"/>
    </mc:Choice>
  </mc:AlternateContent>
  <xr:revisionPtr revIDLastSave="0" documentId="13_ncr:1_{3ABC8D1C-903E-44A5-9172-0578E05A2FF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2" r:id="rId1"/>
    <sheet name="PivotTables" sheetId="3" r:id="rId2"/>
    <sheet name="Teams" sheetId="4" r:id="rId3"/>
    <sheet name="Matches" sheetId="5" r:id="rId4"/>
    <sheet name="MatchTeamStats" sheetId="6" r:id="rId5"/>
    <sheet name="Goals" sheetId="7" r:id="rId6"/>
    <sheet name="Players" sheetId="8" r:id="rId7"/>
    <sheet name="Stadiums" sheetId="9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49" i="8" l="1"/>
  <c r="D1248" i="8"/>
  <c r="D1247" i="8"/>
  <c r="D1246" i="8"/>
  <c r="D1245" i="8"/>
  <c r="D1244" i="8"/>
  <c r="D1243" i="8"/>
  <c r="D1242" i="8"/>
  <c r="D1241" i="8"/>
  <c r="D1240" i="8"/>
  <c r="D1239" i="8"/>
  <c r="D1238" i="8"/>
  <c r="D1237" i="8"/>
  <c r="D1236" i="8"/>
  <c r="D1235" i="8"/>
  <c r="D1234" i="8"/>
  <c r="D1233" i="8"/>
  <c r="D1232" i="8"/>
  <c r="D1231" i="8"/>
  <c r="D1230" i="8"/>
  <c r="D1229" i="8"/>
  <c r="D1228" i="8"/>
  <c r="D1227" i="8"/>
  <c r="D1226" i="8"/>
  <c r="D1225" i="8"/>
  <c r="D1224" i="8"/>
  <c r="D1223" i="8"/>
  <c r="D1222" i="8"/>
  <c r="D1221" i="8"/>
  <c r="D1220" i="8"/>
  <c r="D1219" i="8"/>
  <c r="D1218" i="8"/>
  <c r="D1217" i="8"/>
  <c r="D1216" i="8"/>
  <c r="D1215" i="8"/>
  <c r="D1214" i="8"/>
  <c r="D1213" i="8"/>
  <c r="D1212" i="8"/>
  <c r="D1211" i="8"/>
  <c r="D1210" i="8"/>
  <c r="D1209" i="8"/>
  <c r="D1208" i="8"/>
  <c r="D1207" i="8"/>
  <c r="D1206" i="8"/>
  <c r="D1205" i="8"/>
  <c r="D1204" i="8"/>
  <c r="D1203" i="8"/>
  <c r="D1202" i="8"/>
  <c r="D1201" i="8"/>
  <c r="D1200" i="8"/>
  <c r="D1199" i="8"/>
  <c r="D1198" i="8"/>
  <c r="D1197" i="8"/>
  <c r="D1196" i="8"/>
  <c r="D1195" i="8"/>
  <c r="D1194" i="8"/>
  <c r="D1193" i="8"/>
  <c r="D1192" i="8"/>
  <c r="D1191" i="8"/>
  <c r="D1190" i="8"/>
  <c r="D1189" i="8"/>
  <c r="D1188" i="8"/>
  <c r="D1187" i="8"/>
  <c r="D1186" i="8"/>
  <c r="D1185" i="8"/>
  <c r="D1184" i="8"/>
  <c r="D1183" i="8"/>
  <c r="D1182" i="8"/>
  <c r="D1181" i="8"/>
  <c r="D1180" i="8"/>
  <c r="D1179" i="8"/>
  <c r="D1178" i="8"/>
  <c r="D1177" i="8"/>
  <c r="D1176" i="8"/>
  <c r="D1175" i="8"/>
  <c r="D1174" i="8"/>
  <c r="D1173" i="8"/>
  <c r="D1172" i="8"/>
  <c r="D1171" i="8"/>
  <c r="D1170" i="8"/>
  <c r="D1169" i="8"/>
  <c r="D1168" i="8"/>
  <c r="D1167" i="8"/>
  <c r="D1166" i="8"/>
  <c r="D1165" i="8"/>
  <c r="D1164" i="8"/>
  <c r="D1163" i="8"/>
  <c r="D1162" i="8"/>
  <c r="D1161" i="8"/>
  <c r="D1160" i="8"/>
  <c r="D1159" i="8"/>
  <c r="D1158" i="8"/>
  <c r="D1157" i="8"/>
  <c r="D1156" i="8"/>
  <c r="D1155" i="8"/>
  <c r="D1154" i="8"/>
  <c r="D1153" i="8"/>
  <c r="D1152" i="8"/>
  <c r="D1151" i="8"/>
  <c r="D1150" i="8"/>
  <c r="D1149" i="8"/>
  <c r="D1148" i="8"/>
  <c r="D1147" i="8"/>
  <c r="D1146" i="8"/>
  <c r="D1145" i="8"/>
  <c r="D1144" i="8"/>
  <c r="D1143" i="8"/>
  <c r="D1142" i="8"/>
  <c r="D1141" i="8"/>
  <c r="D1140" i="8"/>
  <c r="D1139" i="8"/>
  <c r="D1138" i="8"/>
  <c r="D1137" i="8"/>
  <c r="D1136" i="8"/>
  <c r="D1135" i="8"/>
  <c r="D1134" i="8"/>
  <c r="D1133" i="8"/>
  <c r="D1132" i="8"/>
  <c r="D1131" i="8"/>
  <c r="D1130" i="8"/>
  <c r="D1129" i="8"/>
  <c r="D1128" i="8"/>
  <c r="D1127" i="8"/>
  <c r="D1126" i="8"/>
  <c r="D1125" i="8"/>
  <c r="D1124" i="8"/>
  <c r="D1123" i="8"/>
  <c r="D1122" i="8"/>
  <c r="D1121" i="8"/>
  <c r="D1120" i="8"/>
  <c r="D1119" i="8"/>
  <c r="D1118" i="8"/>
  <c r="D1117" i="8"/>
  <c r="D1116" i="8"/>
  <c r="D1115" i="8"/>
  <c r="D1114" i="8"/>
  <c r="D1113" i="8"/>
  <c r="D1112" i="8"/>
  <c r="D1111" i="8"/>
  <c r="D1110" i="8"/>
  <c r="D1109" i="8"/>
  <c r="D1108" i="8"/>
  <c r="D1107" i="8"/>
  <c r="D1106" i="8"/>
  <c r="D1105" i="8"/>
  <c r="D1104" i="8"/>
  <c r="D1103" i="8"/>
  <c r="D1102" i="8"/>
  <c r="D1101" i="8"/>
  <c r="D1100" i="8"/>
  <c r="D1099" i="8"/>
  <c r="D1098" i="8"/>
  <c r="D1097" i="8"/>
  <c r="D1096" i="8"/>
  <c r="D1095" i="8"/>
  <c r="D1094" i="8"/>
  <c r="D1093" i="8"/>
  <c r="D1092" i="8"/>
  <c r="D1091" i="8"/>
  <c r="D1090" i="8"/>
  <c r="D1089" i="8"/>
  <c r="D1088" i="8"/>
  <c r="D1087" i="8"/>
  <c r="D1086" i="8"/>
  <c r="D1085" i="8"/>
  <c r="D1084" i="8"/>
  <c r="D1083" i="8"/>
  <c r="D1082" i="8"/>
  <c r="D1081" i="8"/>
  <c r="D1080" i="8"/>
  <c r="D1079" i="8"/>
  <c r="D1078" i="8"/>
  <c r="D1077" i="8"/>
  <c r="D1076" i="8"/>
  <c r="D1075" i="8"/>
  <c r="D1074" i="8"/>
  <c r="D1073" i="8"/>
  <c r="D1072" i="8"/>
  <c r="D1071" i="8"/>
  <c r="D1070" i="8"/>
  <c r="D1069" i="8"/>
  <c r="D1068" i="8"/>
  <c r="D1067" i="8"/>
  <c r="D1066" i="8"/>
  <c r="D1065" i="8"/>
  <c r="D1064" i="8"/>
  <c r="D1063" i="8"/>
  <c r="D1062" i="8"/>
  <c r="D1061" i="8"/>
  <c r="D1060" i="8"/>
  <c r="D1059" i="8"/>
  <c r="D1058" i="8"/>
  <c r="D1057" i="8"/>
  <c r="D1056" i="8"/>
  <c r="D1055" i="8"/>
  <c r="D1054" i="8"/>
  <c r="D1053" i="8"/>
  <c r="D1052" i="8"/>
  <c r="D1051" i="8"/>
  <c r="D1050" i="8"/>
  <c r="D1049" i="8"/>
  <c r="D1048" i="8"/>
  <c r="D1047" i="8"/>
  <c r="D1046" i="8"/>
  <c r="D1045" i="8"/>
  <c r="D1044" i="8"/>
  <c r="D1043" i="8"/>
  <c r="D1042" i="8"/>
  <c r="D1041" i="8"/>
  <c r="D1040" i="8"/>
  <c r="D1039" i="8"/>
  <c r="D1038" i="8"/>
  <c r="D1037" i="8"/>
  <c r="D1036" i="8"/>
  <c r="D1035" i="8"/>
  <c r="D1034" i="8"/>
  <c r="D1033" i="8"/>
  <c r="D1032" i="8"/>
  <c r="D1031" i="8"/>
  <c r="D1030" i="8"/>
  <c r="D1029" i="8"/>
  <c r="D1028" i="8"/>
  <c r="D1027" i="8"/>
  <c r="D1026" i="8"/>
  <c r="D1025" i="8"/>
  <c r="D1024" i="8"/>
  <c r="D1023" i="8"/>
  <c r="D1022" i="8"/>
  <c r="D1021" i="8"/>
  <c r="D1020" i="8"/>
  <c r="D1019" i="8"/>
  <c r="D1018" i="8"/>
  <c r="D1017" i="8"/>
  <c r="D1016" i="8"/>
  <c r="D1015" i="8"/>
  <c r="D1014" i="8"/>
  <c r="D1013" i="8"/>
  <c r="D1012" i="8"/>
  <c r="D1011" i="8"/>
  <c r="D1010" i="8"/>
  <c r="D1009" i="8"/>
  <c r="D1008" i="8"/>
  <c r="D1007" i="8"/>
  <c r="D1006" i="8"/>
  <c r="D1005" i="8"/>
  <c r="D1004" i="8"/>
  <c r="D1003" i="8"/>
  <c r="D1002" i="8"/>
  <c r="D1001" i="8"/>
  <c r="D1000" i="8"/>
  <c r="D999" i="8"/>
  <c r="D998" i="8"/>
  <c r="D997" i="8"/>
  <c r="D996" i="8"/>
  <c r="D995" i="8"/>
  <c r="D994" i="8"/>
  <c r="D993" i="8"/>
  <c r="D992" i="8"/>
  <c r="D991" i="8"/>
  <c r="D990" i="8"/>
  <c r="D989" i="8"/>
  <c r="D988" i="8"/>
  <c r="D987" i="8"/>
  <c r="D986" i="8"/>
  <c r="D985" i="8"/>
  <c r="D984" i="8"/>
  <c r="D983" i="8"/>
  <c r="D982" i="8"/>
  <c r="D981" i="8"/>
  <c r="D980" i="8"/>
  <c r="D979" i="8"/>
  <c r="D978" i="8"/>
  <c r="D977" i="8"/>
  <c r="D976" i="8"/>
  <c r="D975" i="8"/>
  <c r="D974" i="8"/>
  <c r="D973" i="8"/>
  <c r="D972" i="8"/>
  <c r="D971" i="8"/>
  <c r="D970" i="8"/>
  <c r="D969" i="8"/>
  <c r="D968" i="8"/>
  <c r="D967" i="8"/>
  <c r="D966" i="8"/>
  <c r="D965" i="8"/>
  <c r="D964" i="8"/>
  <c r="D963" i="8"/>
  <c r="D962" i="8"/>
  <c r="D961" i="8"/>
  <c r="D960" i="8"/>
  <c r="D959" i="8"/>
  <c r="D958" i="8"/>
  <c r="D957" i="8"/>
  <c r="D956" i="8"/>
  <c r="D955" i="8"/>
  <c r="D954" i="8"/>
  <c r="D953" i="8"/>
  <c r="D952" i="8"/>
  <c r="D951" i="8"/>
  <c r="D950" i="8"/>
  <c r="D949" i="8"/>
  <c r="D948" i="8"/>
  <c r="D947" i="8"/>
  <c r="D946" i="8"/>
  <c r="D945" i="8"/>
  <c r="D944" i="8"/>
  <c r="D943" i="8"/>
  <c r="D942" i="8"/>
  <c r="D941" i="8"/>
  <c r="D940" i="8"/>
  <c r="D939" i="8"/>
  <c r="D938" i="8"/>
  <c r="D937" i="8"/>
  <c r="D936" i="8"/>
  <c r="D935" i="8"/>
  <c r="D934" i="8"/>
  <c r="D933" i="8"/>
  <c r="D932" i="8"/>
  <c r="D931" i="8"/>
  <c r="D930" i="8"/>
  <c r="D929" i="8"/>
  <c r="D928" i="8"/>
  <c r="D927" i="8"/>
  <c r="D926" i="8"/>
  <c r="D925" i="8"/>
  <c r="D924" i="8"/>
  <c r="D923" i="8"/>
  <c r="D922" i="8"/>
  <c r="D921" i="8"/>
  <c r="D920" i="8"/>
  <c r="D919" i="8"/>
  <c r="D918" i="8"/>
  <c r="D917" i="8"/>
  <c r="D916" i="8"/>
  <c r="D915" i="8"/>
  <c r="D914" i="8"/>
  <c r="D913" i="8"/>
  <c r="D912" i="8"/>
  <c r="D911" i="8"/>
  <c r="D910" i="8"/>
  <c r="D909" i="8"/>
  <c r="D908" i="8"/>
  <c r="D907" i="8"/>
  <c r="D906" i="8"/>
  <c r="D905" i="8"/>
  <c r="D904" i="8"/>
  <c r="D903" i="8"/>
  <c r="D902" i="8"/>
  <c r="D901" i="8"/>
  <c r="D900" i="8"/>
  <c r="D899" i="8"/>
  <c r="D898" i="8"/>
  <c r="D897" i="8"/>
  <c r="D896" i="8"/>
  <c r="D895" i="8"/>
  <c r="D894" i="8"/>
  <c r="D893" i="8"/>
  <c r="D892" i="8"/>
  <c r="D891" i="8"/>
  <c r="D890" i="8"/>
  <c r="D889" i="8"/>
  <c r="D888" i="8"/>
  <c r="D887" i="8"/>
  <c r="D886" i="8"/>
  <c r="D885" i="8"/>
  <c r="D884" i="8"/>
  <c r="D883" i="8"/>
  <c r="D882" i="8"/>
  <c r="D881" i="8"/>
  <c r="D880" i="8"/>
  <c r="D879" i="8"/>
  <c r="D878" i="8"/>
  <c r="D877" i="8"/>
  <c r="D876" i="8"/>
  <c r="D875" i="8"/>
  <c r="D874" i="8"/>
  <c r="D873" i="8"/>
  <c r="D872" i="8"/>
  <c r="D871" i="8"/>
  <c r="D870" i="8"/>
  <c r="D869" i="8"/>
  <c r="D868" i="8"/>
  <c r="D867" i="8"/>
  <c r="D866" i="8"/>
  <c r="D865" i="8"/>
  <c r="D864" i="8"/>
  <c r="D863" i="8"/>
  <c r="D862" i="8"/>
  <c r="D861" i="8"/>
  <c r="D860" i="8"/>
  <c r="D859" i="8"/>
  <c r="D858" i="8"/>
  <c r="D857" i="8"/>
  <c r="D856" i="8"/>
  <c r="D855" i="8"/>
  <c r="D854" i="8"/>
  <c r="D853" i="8"/>
  <c r="D852" i="8"/>
  <c r="D851" i="8"/>
  <c r="D850" i="8"/>
  <c r="D849" i="8"/>
  <c r="D848" i="8"/>
  <c r="D847" i="8"/>
  <c r="D846" i="8"/>
  <c r="D845" i="8"/>
  <c r="D844" i="8"/>
  <c r="D843" i="8"/>
  <c r="D842" i="8"/>
  <c r="D841" i="8"/>
  <c r="D840" i="8"/>
  <c r="D839" i="8"/>
  <c r="D838" i="8"/>
  <c r="D837" i="8"/>
  <c r="D836" i="8"/>
  <c r="D835" i="8"/>
  <c r="D834" i="8"/>
  <c r="D833" i="8"/>
  <c r="D832" i="8"/>
  <c r="D831" i="8"/>
  <c r="D830" i="8"/>
  <c r="D829" i="8"/>
  <c r="D828" i="8"/>
  <c r="D827" i="8"/>
  <c r="D826" i="8"/>
  <c r="D825" i="8"/>
  <c r="D824" i="8"/>
  <c r="D823" i="8"/>
  <c r="D822" i="8"/>
  <c r="D821" i="8"/>
  <c r="D820" i="8"/>
  <c r="D819" i="8"/>
  <c r="D818" i="8"/>
  <c r="D817" i="8"/>
  <c r="D816" i="8"/>
  <c r="D815" i="8"/>
  <c r="D814" i="8"/>
  <c r="D813" i="8"/>
  <c r="D812" i="8"/>
  <c r="D811" i="8"/>
  <c r="D810" i="8"/>
  <c r="D809" i="8"/>
  <c r="D808" i="8"/>
  <c r="D807" i="8"/>
  <c r="D806" i="8"/>
  <c r="D805" i="8"/>
  <c r="D804" i="8"/>
  <c r="D803" i="8"/>
  <c r="D802" i="8"/>
  <c r="D801" i="8"/>
  <c r="D800" i="8"/>
  <c r="D799" i="8"/>
  <c r="D798" i="8"/>
  <c r="D797" i="8"/>
  <c r="D796" i="8"/>
  <c r="D795" i="8"/>
  <c r="D794" i="8"/>
  <c r="D793" i="8"/>
  <c r="D792" i="8"/>
  <c r="D791" i="8"/>
  <c r="D790" i="8"/>
  <c r="D789" i="8"/>
  <c r="D788" i="8"/>
  <c r="D787" i="8"/>
  <c r="D786" i="8"/>
  <c r="D785" i="8"/>
  <c r="D784" i="8"/>
  <c r="D783" i="8"/>
  <c r="D782" i="8"/>
  <c r="D781" i="8"/>
  <c r="D780" i="8"/>
  <c r="D779" i="8"/>
  <c r="D778" i="8"/>
  <c r="D777" i="8"/>
  <c r="D776" i="8"/>
  <c r="D775" i="8"/>
  <c r="D774" i="8"/>
  <c r="D773" i="8"/>
  <c r="D772" i="8"/>
  <c r="D771" i="8"/>
  <c r="D770" i="8"/>
  <c r="D769" i="8"/>
  <c r="D768" i="8"/>
  <c r="D767" i="8"/>
  <c r="D766" i="8"/>
  <c r="D765" i="8"/>
  <c r="D764" i="8"/>
  <c r="D763" i="8"/>
  <c r="D762" i="8"/>
  <c r="D761" i="8"/>
  <c r="D760" i="8"/>
  <c r="D759" i="8"/>
  <c r="D758" i="8"/>
  <c r="D757" i="8"/>
  <c r="D756" i="8"/>
  <c r="D755" i="8"/>
  <c r="D754" i="8"/>
  <c r="D753" i="8"/>
  <c r="D752" i="8"/>
  <c r="D751" i="8"/>
  <c r="D750" i="8"/>
  <c r="D749" i="8"/>
  <c r="D748" i="8"/>
  <c r="D747" i="8"/>
  <c r="D746" i="8"/>
  <c r="D745" i="8"/>
  <c r="D744" i="8"/>
  <c r="D743" i="8"/>
  <c r="D742" i="8"/>
  <c r="D741" i="8"/>
  <c r="D740" i="8"/>
  <c r="D739" i="8"/>
  <c r="D738" i="8"/>
  <c r="D737" i="8"/>
  <c r="D736" i="8"/>
  <c r="D735" i="8"/>
  <c r="D734" i="8"/>
  <c r="D733" i="8"/>
  <c r="D732" i="8"/>
  <c r="D731" i="8"/>
  <c r="D730" i="8"/>
  <c r="D729" i="8"/>
  <c r="D728" i="8"/>
  <c r="D727" i="8"/>
  <c r="D726" i="8"/>
  <c r="D725" i="8"/>
  <c r="D724" i="8"/>
  <c r="D723" i="8"/>
  <c r="D722" i="8"/>
  <c r="D721" i="8"/>
  <c r="D720" i="8"/>
  <c r="D719" i="8"/>
  <c r="D718" i="8"/>
  <c r="D717" i="8"/>
  <c r="D716" i="8"/>
  <c r="D715" i="8"/>
  <c r="D714" i="8"/>
  <c r="D713" i="8"/>
  <c r="D712" i="8"/>
  <c r="D711" i="8"/>
  <c r="D710" i="8"/>
  <c r="D709" i="8"/>
  <c r="D708" i="8"/>
  <c r="D707" i="8"/>
  <c r="D706" i="8"/>
  <c r="D705" i="8"/>
  <c r="D704" i="8"/>
  <c r="D703" i="8"/>
  <c r="D702" i="8"/>
  <c r="D701" i="8"/>
  <c r="D700" i="8"/>
  <c r="D699" i="8"/>
  <c r="D698" i="8"/>
  <c r="D697" i="8"/>
  <c r="D696" i="8"/>
  <c r="D695" i="8"/>
  <c r="D694" i="8"/>
  <c r="D693" i="8"/>
  <c r="D692" i="8"/>
  <c r="D691" i="8"/>
  <c r="D690" i="8"/>
  <c r="D689" i="8"/>
  <c r="D688" i="8"/>
  <c r="D687" i="8"/>
  <c r="D686" i="8"/>
  <c r="D685" i="8"/>
  <c r="D684" i="8"/>
  <c r="D683" i="8"/>
  <c r="D682" i="8"/>
  <c r="D681" i="8"/>
  <c r="D680" i="8"/>
  <c r="D679" i="8"/>
  <c r="D678" i="8"/>
  <c r="D677" i="8"/>
  <c r="D676" i="8"/>
  <c r="D675" i="8"/>
  <c r="D674" i="8"/>
  <c r="D673" i="8"/>
  <c r="D672" i="8"/>
  <c r="D671" i="8"/>
  <c r="D670" i="8"/>
  <c r="D669" i="8"/>
  <c r="D668" i="8"/>
  <c r="D667" i="8"/>
  <c r="D666" i="8"/>
  <c r="D665" i="8"/>
  <c r="D664" i="8"/>
  <c r="D663" i="8"/>
  <c r="D662" i="8"/>
  <c r="D661" i="8"/>
  <c r="D660" i="8"/>
  <c r="D659" i="8"/>
  <c r="D658" i="8"/>
  <c r="D657" i="8"/>
  <c r="D656" i="8"/>
  <c r="D655" i="8"/>
  <c r="D654" i="8"/>
  <c r="D653" i="8"/>
  <c r="D652" i="8"/>
  <c r="D651" i="8"/>
  <c r="D650" i="8"/>
  <c r="D649" i="8"/>
  <c r="D648" i="8"/>
  <c r="D647" i="8"/>
  <c r="D646" i="8"/>
  <c r="D645" i="8"/>
  <c r="D644" i="8"/>
  <c r="D643" i="8"/>
  <c r="D642" i="8"/>
  <c r="D641" i="8"/>
  <c r="D640" i="8"/>
  <c r="D639" i="8"/>
  <c r="D638" i="8"/>
  <c r="D637" i="8"/>
  <c r="D636" i="8"/>
  <c r="D635" i="8"/>
  <c r="D634" i="8"/>
  <c r="D633" i="8"/>
  <c r="D632" i="8"/>
  <c r="D631" i="8"/>
  <c r="D630" i="8"/>
  <c r="D629" i="8"/>
  <c r="D628" i="8"/>
  <c r="D627" i="8"/>
  <c r="D626" i="8"/>
  <c r="D625" i="8"/>
  <c r="D624" i="8"/>
  <c r="D623" i="8"/>
  <c r="D622" i="8"/>
  <c r="D621" i="8"/>
  <c r="D620" i="8"/>
  <c r="D619" i="8"/>
  <c r="D618" i="8"/>
  <c r="D617" i="8"/>
  <c r="D616" i="8"/>
  <c r="D615" i="8"/>
  <c r="D614" i="8"/>
  <c r="D613" i="8"/>
  <c r="D612" i="8"/>
  <c r="D611" i="8"/>
  <c r="D610" i="8"/>
  <c r="D609" i="8"/>
  <c r="D608" i="8"/>
  <c r="D607" i="8"/>
  <c r="D606" i="8"/>
  <c r="D605" i="8"/>
  <c r="D604" i="8"/>
  <c r="D603" i="8"/>
  <c r="D602" i="8"/>
  <c r="D601" i="8"/>
  <c r="D600" i="8"/>
  <c r="D599" i="8"/>
  <c r="D598" i="8"/>
  <c r="D597" i="8"/>
  <c r="D596" i="8"/>
  <c r="D595" i="8"/>
  <c r="D594" i="8"/>
  <c r="D593" i="8"/>
  <c r="D592" i="8"/>
  <c r="D591" i="8"/>
  <c r="D590" i="8"/>
  <c r="D589" i="8"/>
  <c r="D588" i="8"/>
  <c r="D587" i="8"/>
  <c r="D586" i="8"/>
  <c r="D585" i="8"/>
  <c r="D584" i="8"/>
  <c r="D583" i="8"/>
  <c r="D582" i="8"/>
  <c r="D581" i="8"/>
  <c r="D580" i="8"/>
  <c r="D579" i="8"/>
  <c r="D578" i="8"/>
  <c r="D577" i="8"/>
  <c r="D576" i="8"/>
  <c r="D575" i="8"/>
  <c r="D574" i="8"/>
  <c r="D573" i="8"/>
  <c r="D572" i="8"/>
  <c r="D571" i="8"/>
  <c r="D570" i="8"/>
  <c r="D569" i="8"/>
  <c r="D568" i="8"/>
  <c r="D567" i="8"/>
  <c r="D566" i="8"/>
  <c r="D565" i="8"/>
  <c r="D564" i="8"/>
  <c r="D563" i="8"/>
  <c r="D562" i="8"/>
  <c r="D561" i="8"/>
  <c r="D560" i="8"/>
  <c r="D559" i="8"/>
  <c r="D558" i="8"/>
  <c r="D557" i="8"/>
  <c r="D556" i="8"/>
  <c r="D555" i="8"/>
  <c r="D554" i="8"/>
  <c r="D553" i="8"/>
  <c r="D552" i="8"/>
  <c r="D551" i="8"/>
  <c r="D550" i="8"/>
  <c r="D549" i="8"/>
  <c r="D548" i="8"/>
  <c r="D547" i="8"/>
  <c r="D546" i="8"/>
  <c r="D545" i="8"/>
  <c r="D544" i="8"/>
  <c r="D543" i="8"/>
  <c r="D542" i="8"/>
  <c r="D541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D523" i="8"/>
  <c r="D522" i="8"/>
  <c r="D521" i="8"/>
  <c r="D520" i="8"/>
  <c r="D519" i="8"/>
  <c r="D518" i="8"/>
  <c r="D517" i="8"/>
  <c r="D516" i="8"/>
  <c r="D515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I309" i="7"/>
  <c r="F309" i="7"/>
  <c r="D309" i="7"/>
  <c r="I308" i="7"/>
  <c r="F308" i="7"/>
  <c r="D308" i="7"/>
  <c r="I307" i="7"/>
  <c r="F307" i="7"/>
  <c r="D307" i="7"/>
  <c r="I306" i="7"/>
  <c r="F306" i="7"/>
  <c r="D306" i="7"/>
  <c r="I305" i="7"/>
  <c r="F305" i="7"/>
  <c r="D305" i="7"/>
  <c r="I304" i="7"/>
  <c r="F304" i="7"/>
  <c r="D304" i="7"/>
  <c r="I303" i="7"/>
  <c r="F303" i="7"/>
  <c r="D303" i="7"/>
  <c r="I302" i="7"/>
  <c r="F302" i="7"/>
  <c r="D302" i="7"/>
  <c r="I301" i="7"/>
  <c r="F301" i="7"/>
  <c r="D301" i="7"/>
  <c r="I300" i="7"/>
  <c r="F300" i="7"/>
  <c r="D300" i="7"/>
  <c r="I299" i="7"/>
  <c r="F299" i="7"/>
  <c r="D299" i="7"/>
  <c r="I298" i="7"/>
  <c r="F298" i="7"/>
  <c r="D298" i="7"/>
  <c r="I297" i="7"/>
  <c r="F297" i="7"/>
  <c r="D297" i="7"/>
  <c r="I296" i="7"/>
  <c r="F296" i="7"/>
  <c r="D296" i="7"/>
  <c r="I295" i="7"/>
  <c r="F295" i="7"/>
  <c r="D295" i="7"/>
  <c r="I294" i="7"/>
  <c r="F294" i="7"/>
  <c r="D294" i="7"/>
  <c r="I293" i="7"/>
  <c r="F293" i="7"/>
  <c r="D293" i="7"/>
  <c r="I292" i="7"/>
  <c r="F292" i="7"/>
  <c r="D292" i="7"/>
  <c r="I291" i="7"/>
  <c r="F291" i="7"/>
  <c r="D291" i="7"/>
  <c r="I290" i="7"/>
  <c r="F290" i="7"/>
  <c r="D290" i="7"/>
  <c r="I289" i="7"/>
  <c r="F289" i="7"/>
  <c r="D289" i="7"/>
  <c r="I288" i="7"/>
  <c r="F288" i="7"/>
  <c r="D288" i="7"/>
  <c r="I287" i="7"/>
  <c r="F287" i="7"/>
  <c r="D287" i="7"/>
  <c r="I286" i="7"/>
  <c r="F286" i="7"/>
  <c r="D286" i="7"/>
  <c r="I285" i="7"/>
  <c r="F285" i="7"/>
  <c r="D285" i="7"/>
  <c r="I284" i="7"/>
  <c r="F284" i="7"/>
  <c r="D284" i="7"/>
  <c r="I283" i="7"/>
  <c r="F283" i="7"/>
  <c r="D283" i="7"/>
  <c r="I282" i="7"/>
  <c r="F282" i="7"/>
  <c r="D282" i="7"/>
  <c r="I281" i="7"/>
  <c r="F281" i="7"/>
  <c r="D281" i="7"/>
  <c r="I280" i="7"/>
  <c r="F280" i="7"/>
  <c r="D280" i="7"/>
  <c r="I279" i="7"/>
  <c r="F279" i="7"/>
  <c r="D279" i="7"/>
  <c r="I278" i="7"/>
  <c r="F278" i="7"/>
  <c r="D278" i="7"/>
  <c r="I277" i="7"/>
  <c r="F277" i="7"/>
  <c r="D277" i="7"/>
  <c r="I276" i="7"/>
  <c r="F276" i="7"/>
  <c r="D276" i="7"/>
  <c r="I275" i="7"/>
  <c r="F275" i="7"/>
  <c r="D275" i="7"/>
  <c r="I274" i="7"/>
  <c r="F274" i="7"/>
  <c r="D274" i="7"/>
  <c r="I273" i="7"/>
  <c r="F273" i="7"/>
  <c r="D273" i="7"/>
  <c r="I272" i="7"/>
  <c r="F272" i="7"/>
  <c r="D272" i="7"/>
  <c r="I271" i="7"/>
  <c r="F271" i="7"/>
  <c r="D271" i="7"/>
  <c r="I270" i="7"/>
  <c r="F270" i="7"/>
  <c r="D270" i="7"/>
  <c r="I269" i="7"/>
  <c r="F269" i="7"/>
  <c r="D269" i="7"/>
  <c r="I268" i="7"/>
  <c r="F268" i="7"/>
  <c r="D268" i="7"/>
  <c r="I267" i="7"/>
  <c r="F267" i="7"/>
  <c r="D267" i="7"/>
  <c r="I266" i="7"/>
  <c r="F266" i="7"/>
  <c r="D266" i="7"/>
  <c r="I265" i="7"/>
  <c r="F265" i="7"/>
  <c r="D265" i="7"/>
  <c r="I264" i="7"/>
  <c r="F264" i="7"/>
  <c r="D264" i="7"/>
  <c r="I263" i="7"/>
  <c r="F263" i="7"/>
  <c r="D263" i="7"/>
  <c r="I262" i="7"/>
  <c r="F262" i="7"/>
  <c r="D262" i="7"/>
  <c r="I261" i="7"/>
  <c r="F261" i="7"/>
  <c r="D261" i="7"/>
  <c r="I260" i="7"/>
  <c r="F260" i="7"/>
  <c r="D260" i="7"/>
  <c r="I259" i="7"/>
  <c r="F259" i="7"/>
  <c r="D259" i="7"/>
  <c r="I258" i="7"/>
  <c r="F258" i="7"/>
  <c r="D258" i="7"/>
  <c r="I257" i="7"/>
  <c r="F257" i="7"/>
  <c r="D257" i="7"/>
  <c r="I256" i="7"/>
  <c r="F256" i="7"/>
  <c r="D256" i="7"/>
  <c r="I255" i="7"/>
  <c r="F255" i="7"/>
  <c r="D255" i="7"/>
  <c r="I254" i="7"/>
  <c r="F254" i="7"/>
  <c r="D254" i="7"/>
  <c r="I253" i="7"/>
  <c r="F253" i="7"/>
  <c r="D253" i="7"/>
  <c r="I252" i="7"/>
  <c r="F252" i="7"/>
  <c r="D252" i="7"/>
  <c r="I251" i="7"/>
  <c r="F251" i="7"/>
  <c r="D251" i="7"/>
  <c r="I250" i="7"/>
  <c r="F250" i="7"/>
  <c r="D250" i="7"/>
  <c r="I249" i="7"/>
  <c r="F249" i="7"/>
  <c r="D249" i="7"/>
  <c r="I248" i="7"/>
  <c r="F248" i="7"/>
  <c r="D248" i="7"/>
  <c r="I247" i="7"/>
  <c r="F247" i="7"/>
  <c r="D247" i="7"/>
  <c r="I246" i="7"/>
  <c r="F246" i="7"/>
  <c r="D246" i="7"/>
  <c r="I245" i="7"/>
  <c r="F245" i="7"/>
  <c r="D245" i="7"/>
  <c r="I244" i="7"/>
  <c r="F244" i="7"/>
  <c r="D244" i="7"/>
  <c r="I243" i="7"/>
  <c r="F243" i="7"/>
  <c r="D243" i="7"/>
  <c r="I242" i="7"/>
  <c r="F242" i="7"/>
  <c r="D242" i="7"/>
  <c r="I241" i="7"/>
  <c r="F241" i="7"/>
  <c r="D241" i="7"/>
  <c r="I240" i="7"/>
  <c r="F240" i="7"/>
  <c r="D240" i="7"/>
  <c r="I239" i="7"/>
  <c r="F239" i="7"/>
  <c r="D239" i="7"/>
  <c r="I238" i="7"/>
  <c r="F238" i="7"/>
  <c r="D238" i="7"/>
  <c r="I237" i="7"/>
  <c r="F237" i="7"/>
  <c r="D237" i="7"/>
  <c r="I236" i="7"/>
  <c r="F236" i="7"/>
  <c r="D236" i="7"/>
  <c r="I235" i="7"/>
  <c r="F235" i="7"/>
  <c r="D235" i="7"/>
  <c r="I234" i="7"/>
  <c r="F234" i="7"/>
  <c r="D234" i="7"/>
  <c r="I233" i="7"/>
  <c r="F233" i="7"/>
  <c r="D233" i="7"/>
  <c r="I232" i="7"/>
  <c r="F232" i="7"/>
  <c r="D232" i="7"/>
  <c r="I231" i="7"/>
  <c r="F231" i="7"/>
  <c r="D231" i="7"/>
  <c r="I230" i="7"/>
  <c r="F230" i="7"/>
  <c r="D230" i="7"/>
  <c r="I229" i="7"/>
  <c r="F229" i="7"/>
  <c r="D229" i="7"/>
  <c r="I228" i="7"/>
  <c r="F228" i="7"/>
  <c r="D228" i="7"/>
  <c r="I227" i="7"/>
  <c r="F227" i="7"/>
  <c r="D227" i="7"/>
  <c r="I226" i="7"/>
  <c r="F226" i="7"/>
  <c r="D226" i="7"/>
  <c r="I225" i="7"/>
  <c r="F225" i="7"/>
  <c r="D225" i="7"/>
  <c r="I224" i="7"/>
  <c r="F224" i="7"/>
  <c r="D224" i="7"/>
  <c r="I223" i="7"/>
  <c r="F223" i="7"/>
  <c r="D223" i="7"/>
  <c r="I222" i="7"/>
  <c r="F222" i="7"/>
  <c r="D222" i="7"/>
  <c r="I221" i="7"/>
  <c r="F221" i="7"/>
  <c r="D221" i="7"/>
  <c r="I220" i="7"/>
  <c r="F220" i="7"/>
  <c r="D220" i="7"/>
  <c r="I219" i="7"/>
  <c r="F219" i="7"/>
  <c r="D219" i="7"/>
  <c r="I218" i="7"/>
  <c r="F218" i="7"/>
  <c r="D218" i="7"/>
  <c r="I217" i="7"/>
  <c r="F217" i="7"/>
  <c r="D217" i="7"/>
  <c r="I216" i="7"/>
  <c r="F216" i="7"/>
  <c r="D216" i="7"/>
  <c r="I215" i="7"/>
  <c r="F215" i="7"/>
  <c r="D215" i="7"/>
  <c r="I214" i="7"/>
  <c r="F214" i="7"/>
  <c r="D214" i="7"/>
  <c r="I213" i="7"/>
  <c r="F213" i="7"/>
  <c r="D213" i="7"/>
  <c r="I212" i="7"/>
  <c r="F212" i="7"/>
  <c r="D212" i="7"/>
  <c r="I211" i="7"/>
  <c r="F211" i="7"/>
  <c r="D211" i="7"/>
  <c r="I210" i="7"/>
  <c r="F210" i="7"/>
  <c r="D210" i="7"/>
  <c r="I209" i="7"/>
  <c r="F209" i="7"/>
  <c r="D209" i="7"/>
  <c r="I208" i="7"/>
  <c r="F208" i="7"/>
  <c r="D208" i="7"/>
  <c r="I207" i="7"/>
  <c r="F207" i="7"/>
  <c r="D207" i="7"/>
  <c r="I206" i="7"/>
  <c r="F206" i="7"/>
  <c r="D206" i="7"/>
  <c r="I205" i="7"/>
  <c r="F205" i="7"/>
  <c r="D205" i="7"/>
  <c r="I204" i="7"/>
  <c r="F204" i="7"/>
  <c r="D204" i="7"/>
  <c r="I203" i="7"/>
  <c r="F203" i="7"/>
  <c r="D203" i="7"/>
  <c r="I202" i="7"/>
  <c r="F202" i="7"/>
  <c r="D202" i="7"/>
  <c r="I201" i="7"/>
  <c r="F201" i="7"/>
  <c r="D201" i="7"/>
  <c r="I200" i="7"/>
  <c r="F200" i="7"/>
  <c r="D200" i="7"/>
  <c r="I199" i="7"/>
  <c r="F199" i="7"/>
  <c r="D199" i="7"/>
  <c r="I198" i="7"/>
  <c r="F198" i="7"/>
  <c r="D198" i="7"/>
  <c r="I197" i="7"/>
  <c r="F197" i="7"/>
  <c r="D197" i="7"/>
  <c r="I196" i="7"/>
  <c r="F196" i="7"/>
  <c r="D196" i="7"/>
  <c r="I195" i="7"/>
  <c r="F195" i="7"/>
  <c r="D195" i="7"/>
  <c r="I194" i="7"/>
  <c r="F194" i="7"/>
  <c r="D194" i="7"/>
  <c r="I193" i="7"/>
  <c r="F193" i="7"/>
  <c r="D193" i="7"/>
  <c r="I192" i="7"/>
  <c r="F192" i="7"/>
  <c r="D192" i="7"/>
  <c r="I191" i="7"/>
  <c r="F191" i="7"/>
  <c r="D191" i="7"/>
  <c r="I190" i="7"/>
  <c r="F190" i="7"/>
  <c r="D190" i="7"/>
  <c r="I189" i="7"/>
  <c r="F189" i="7"/>
  <c r="D189" i="7"/>
  <c r="I188" i="7"/>
  <c r="F188" i="7"/>
  <c r="D188" i="7"/>
  <c r="I187" i="7"/>
  <c r="F187" i="7"/>
  <c r="D187" i="7"/>
  <c r="I186" i="7"/>
  <c r="F186" i="7"/>
  <c r="D186" i="7"/>
  <c r="I185" i="7"/>
  <c r="F185" i="7"/>
  <c r="D185" i="7"/>
  <c r="I184" i="7"/>
  <c r="F184" i="7"/>
  <c r="D184" i="7"/>
  <c r="I183" i="7"/>
  <c r="F183" i="7"/>
  <c r="D183" i="7"/>
  <c r="I182" i="7"/>
  <c r="F182" i="7"/>
  <c r="D182" i="7"/>
  <c r="I181" i="7"/>
  <c r="F181" i="7"/>
  <c r="D181" i="7"/>
  <c r="I180" i="7"/>
  <c r="F180" i="7"/>
  <c r="D180" i="7"/>
  <c r="I179" i="7"/>
  <c r="F179" i="7"/>
  <c r="D179" i="7"/>
  <c r="I178" i="7"/>
  <c r="F178" i="7"/>
  <c r="D178" i="7"/>
  <c r="I177" i="7"/>
  <c r="F177" i="7"/>
  <c r="D177" i="7"/>
  <c r="I176" i="7"/>
  <c r="F176" i="7"/>
  <c r="D176" i="7"/>
  <c r="I175" i="7"/>
  <c r="F175" i="7"/>
  <c r="D175" i="7"/>
  <c r="I174" i="7"/>
  <c r="F174" i="7"/>
  <c r="D174" i="7"/>
  <c r="I173" i="7"/>
  <c r="F173" i="7"/>
  <c r="D173" i="7"/>
  <c r="I172" i="7"/>
  <c r="F172" i="7"/>
  <c r="D172" i="7"/>
  <c r="I171" i="7"/>
  <c r="F171" i="7"/>
  <c r="D171" i="7"/>
  <c r="I170" i="7"/>
  <c r="F170" i="7"/>
  <c r="D170" i="7"/>
  <c r="I169" i="7"/>
  <c r="F169" i="7"/>
  <c r="D169" i="7"/>
  <c r="I168" i="7"/>
  <c r="F168" i="7"/>
  <c r="D168" i="7"/>
  <c r="I167" i="7"/>
  <c r="F167" i="7"/>
  <c r="D167" i="7"/>
  <c r="I166" i="7"/>
  <c r="F166" i="7"/>
  <c r="D166" i="7"/>
  <c r="I165" i="7"/>
  <c r="F165" i="7"/>
  <c r="D165" i="7"/>
  <c r="I164" i="7"/>
  <c r="F164" i="7"/>
  <c r="D164" i="7"/>
  <c r="I163" i="7"/>
  <c r="F163" i="7"/>
  <c r="D163" i="7"/>
  <c r="I162" i="7"/>
  <c r="F162" i="7"/>
  <c r="D162" i="7"/>
  <c r="I161" i="7"/>
  <c r="F161" i="7"/>
  <c r="D161" i="7"/>
  <c r="I160" i="7"/>
  <c r="F160" i="7"/>
  <c r="D160" i="7"/>
  <c r="I159" i="7"/>
  <c r="F159" i="7"/>
  <c r="D159" i="7"/>
  <c r="I158" i="7"/>
  <c r="F158" i="7"/>
  <c r="D158" i="7"/>
  <c r="I157" i="7"/>
  <c r="F157" i="7"/>
  <c r="D157" i="7"/>
  <c r="I156" i="7"/>
  <c r="F156" i="7"/>
  <c r="D156" i="7"/>
  <c r="I155" i="7"/>
  <c r="F155" i="7"/>
  <c r="D155" i="7"/>
  <c r="I154" i="7"/>
  <c r="F154" i="7"/>
  <c r="D154" i="7"/>
  <c r="I153" i="7"/>
  <c r="F153" i="7"/>
  <c r="D153" i="7"/>
  <c r="I152" i="7"/>
  <c r="F152" i="7"/>
  <c r="D152" i="7"/>
  <c r="I151" i="7"/>
  <c r="F151" i="7"/>
  <c r="D151" i="7"/>
  <c r="I150" i="7"/>
  <c r="F150" i="7"/>
  <c r="D150" i="7"/>
  <c r="I149" i="7"/>
  <c r="F149" i="7"/>
  <c r="D149" i="7"/>
  <c r="I148" i="7"/>
  <c r="F148" i="7"/>
  <c r="D148" i="7"/>
  <c r="I147" i="7"/>
  <c r="F147" i="7"/>
  <c r="D147" i="7"/>
  <c r="I146" i="7"/>
  <c r="F146" i="7"/>
  <c r="D146" i="7"/>
  <c r="I145" i="7"/>
  <c r="F145" i="7"/>
  <c r="D145" i="7"/>
  <c r="I144" i="7"/>
  <c r="F144" i="7"/>
  <c r="D144" i="7"/>
  <c r="I143" i="7"/>
  <c r="F143" i="7"/>
  <c r="D143" i="7"/>
  <c r="I142" i="7"/>
  <c r="F142" i="7"/>
  <c r="D142" i="7"/>
  <c r="I141" i="7"/>
  <c r="F141" i="7"/>
  <c r="D141" i="7"/>
  <c r="I140" i="7"/>
  <c r="F140" i="7"/>
  <c r="D140" i="7"/>
  <c r="I139" i="7"/>
  <c r="F139" i="7"/>
  <c r="D139" i="7"/>
  <c r="I138" i="7"/>
  <c r="F138" i="7"/>
  <c r="D138" i="7"/>
  <c r="I137" i="7"/>
  <c r="F137" i="7"/>
  <c r="D137" i="7"/>
  <c r="I136" i="7"/>
  <c r="F136" i="7"/>
  <c r="D136" i="7"/>
  <c r="I135" i="7"/>
  <c r="F135" i="7"/>
  <c r="D135" i="7"/>
  <c r="I134" i="7"/>
  <c r="F134" i="7"/>
  <c r="D134" i="7"/>
  <c r="I133" i="7"/>
  <c r="F133" i="7"/>
  <c r="D133" i="7"/>
  <c r="I132" i="7"/>
  <c r="F132" i="7"/>
  <c r="D132" i="7"/>
  <c r="I131" i="7"/>
  <c r="F131" i="7"/>
  <c r="D131" i="7"/>
  <c r="I130" i="7"/>
  <c r="F130" i="7"/>
  <c r="D130" i="7"/>
  <c r="I129" i="7"/>
  <c r="F129" i="7"/>
  <c r="D129" i="7"/>
  <c r="I128" i="7"/>
  <c r="F128" i="7"/>
  <c r="D128" i="7"/>
  <c r="I127" i="7"/>
  <c r="F127" i="7"/>
  <c r="D127" i="7"/>
  <c r="I126" i="7"/>
  <c r="F126" i="7"/>
  <c r="D126" i="7"/>
  <c r="I125" i="7"/>
  <c r="F125" i="7"/>
  <c r="D125" i="7"/>
  <c r="I124" i="7"/>
  <c r="F124" i="7"/>
  <c r="D124" i="7"/>
  <c r="I123" i="7"/>
  <c r="F123" i="7"/>
  <c r="D123" i="7"/>
  <c r="I122" i="7"/>
  <c r="F122" i="7"/>
  <c r="D122" i="7"/>
  <c r="I121" i="7"/>
  <c r="F121" i="7"/>
  <c r="D121" i="7"/>
  <c r="I120" i="7"/>
  <c r="F120" i="7"/>
  <c r="D120" i="7"/>
  <c r="I119" i="7"/>
  <c r="F119" i="7"/>
  <c r="D119" i="7"/>
  <c r="I118" i="7"/>
  <c r="F118" i="7"/>
  <c r="D118" i="7"/>
  <c r="I117" i="7"/>
  <c r="F117" i="7"/>
  <c r="D117" i="7"/>
  <c r="I116" i="7"/>
  <c r="F116" i="7"/>
  <c r="D116" i="7"/>
  <c r="I115" i="7"/>
  <c r="F115" i="7"/>
  <c r="D115" i="7"/>
  <c r="I114" i="7"/>
  <c r="F114" i="7"/>
  <c r="D114" i="7"/>
  <c r="I113" i="7"/>
  <c r="F113" i="7"/>
  <c r="D113" i="7"/>
  <c r="I112" i="7"/>
  <c r="F112" i="7"/>
  <c r="D112" i="7"/>
  <c r="I111" i="7"/>
  <c r="F111" i="7"/>
  <c r="D111" i="7"/>
  <c r="I110" i="7"/>
  <c r="F110" i="7"/>
  <c r="D110" i="7"/>
  <c r="I109" i="7"/>
  <c r="F109" i="7"/>
  <c r="D109" i="7"/>
  <c r="I108" i="7"/>
  <c r="F108" i="7"/>
  <c r="D108" i="7"/>
  <c r="I107" i="7"/>
  <c r="F107" i="7"/>
  <c r="D107" i="7"/>
  <c r="I106" i="7"/>
  <c r="F106" i="7"/>
  <c r="D106" i="7"/>
  <c r="I105" i="7"/>
  <c r="F105" i="7"/>
  <c r="D105" i="7"/>
  <c r="I104" i="7"/>
  <c r="F104" i="7"/>
  <c r="D104" i="7"/>
  <c r="I103" i="7"/>
  <c r="F103" i="7"/>
  <c r="D103" i="7"/>
  <c r="I102" i="7"/>
  <c r="F102" i="7"/>
  <c r="D102" i="7"/>
  <c r="I101" i="7"/>
  <c r="F101" i="7"/>
  <c r="D101" i="7"/>
  <c r="I100" i="7"/>
  <c r="F100" i="7"/>
  <c r="D100" i="7"/>
  <c r="I99" i="7"/>
  <c r="F99" i="7"/>
  <c r="D99" i="7"/>
  <c r="I98" i="7"/>
  <c r="F98" i="7"/>
  <c r="D98" i="7"/>
  <c r="I97" i="7"/>
  <c r="F97" i="7"/>
  <c r="D97" i="7"/>
  <c r="I96" i="7"/>
  <c r="F96" i="7"/>
  <c r="D96" i="7"/>
  <c r="I95" i="7"/>
  <c r="F95" i="7"/>
  <c r="D95" i="7"/>
  <c r="I94" i="7"/>
  <c r="F94" i="7"/>
  <c r="D94" i="7"/>
  <c r="I93" i="7"/>
  <c r="F93" i="7"/>
  <c r="D93" i="7"/>
  <c r="I92" i="7"/>
  <c r="F92" i="7"/>
  <c r="D92" i="7"/>
  <c r="I91" i="7"/>
  <c r="F91" i="7"/>
  <c r="D91" i="7"/>
  <c r="I90" i="7"/>
  <c r="F90" i="7"/>
  <c r="D90" i="7"/>
  <c r="I89" i="7"/>
  <c r="F89" i="7"/>
  <c r="D89" i="7"/>
  <c r="I88" i="7"/>
  <c r="F88" i="7"/>
  <c r="D88" i="7"/>
  <c r="I87" i="7"/>
  <c r="F87" i="7"/>
  <c r="D87" i="7"/>
  <c r="I86" i="7"/>
  <c r="F86" i="7"/>
  <c r="D86" i="7"/>
  <c r="I85" i="7"/>
  <c r="F85" i="7"/>
  <c r="D85" i="7"/>
  <c r="I84" i="7"/>
  <c r="F84" i="7"/>
  <c r="D84" i="7"/>
  <c r="I83" i="7"/>
  <c r="F83" i="7"/>
  <c r="D83" i="7"/>
  <c r="I82" i="7"/>
  <c r="F82" i="7"/>
  <c r="D82" i="7"/>
  <c r="I81" i="7"/>
  <c r="F81" i="7"/>
  <c r="D81" i="7"/>
  <c r="I80" i="7"/>
  <c r="F80" i="7"/>
  <c r="D80" i="7"/>
  <c r="I79" i="7"/>
  <c r="F79" i="7"/>
  <c r="D79" i="7"/>
  <c r="I78" i="7"/>
  <c r="F78" i="7"/>
  <c r="D78" i="7"/>
  <c r="I77" i="7"/>
  <c r="F77" i="7"/>
  <c r="D77" i="7"/>
  <c r="I76" i="7"/>
  <c r="F76" i="7"/>
  <c r="D76" i="7"/>
  <c r="I75" i="7"/>
  <c r="F75" i="7"/>
  <c r="D75" i="7"/>
  <c r="I74" i="7"/>
  <c r="F74" i="7"/>
  <c r="D74" i="7"/>
  <c r="I73" i="7"/>
  <c r="F73" i="7"/>
  <c r="D73" i="7"/>
  <c r="I72" i="7"/>
  <c r="F72" i="7"/>
  <c r="D72" i="7"/>
  <c r="I71" i="7"/>
  <c r="F71" i="7"/>
  <c r="D71" i="7"/>
  <c r="I70" i="7"/>
  <c r="F70" i="7"/>
  <c r="D70" i="7"/>
  <c r="I69" i="7"/>
  <c r="F69" i="7"/>
  <c r="D69" i="7"/>
  <c r="I68" i="7"/>
  <c r="F68" i="7"/>
  <c r="D68" i="7"/>
  <c r="I67" i="7"/>
  <c r="F67" i="7"/>
  <c r="D67" i="7"/>
  <c r="I66" i="7"/>
  <c r="F66" i="7"/>
  <c r="D66" i="7"/>
  <c r="I65" i="7"/>
  <c r="F65" i="7"/>
  <c r="D65" i="7"/>
  <c r="I64" i="7"/>
  <c r="F64" i="7"/>
  <c r="D64" i="7"/>
  <c r="I63" i="7"/>
  <c r="F63" i="7"/>
  <c r="D63" i="7"/>
  <c r="I62" i="7"/>
  <c r="F62" i="7"/>
  <c r="D62" i="7"/>
  <c r="I61" i="7"/>
  <c r="F61" i="7"/>
  <c r="D61" i="7"/>
  <c r="I60" i="7"/>
  <c r="F60" i="7"/>
  <c r="D60" i="7"/>
  <c r="I59" i="7"/>
  <c r="F59" i="7"/>
  <c r="D59" i="7"/>
  <c r="I58" i="7"/>
  <c r="F58" i="7"/>
  <c r="D58" i="7"/>
  <c r="I57" i="7"/>
  <c r="F57" i="7"/>
  <c r="D57" i="7"/>
  <c r="I56" i="7"/>
  <c r="F56" i="7"/>
  <c r="D56" i="7"/>
  <c r="I55" i="7"/>
  <c r="F55" i="7"/>
  <c r="D55" i="7"/>
  <c r="I54" i="7"/>
  <c r="F54" i="7"/>
  <c r="D54" i="7"/>
  <c r="I53" i="7"/>
  <c r="F53" i="7"/>
  <c r="D53" i="7"/>
  <c r="I52" i="7"/>
  <c r="F52" i="7"/>
  <c r="D52" i="7"/>
  <c r="I51" i="7"/>
  <c r="F51" i="7"/>
  <c r="D51" i="7"/>
  <c r="I50" i="7"/>
  <c r="F50" i="7"/>
  <c r="D50" i="7"/>
  <c r="I49" i="7"/>
  <c r="F49" i="7"/>
  <c r="D49" i="7"/>
  <c r="I48" i="7"/>
  <c r="F48" i="7"/>
  <c r="D48" i="7"/>
  <c r="I47" i="7"/>
  <c r="F47" i="7"/>
  <c r="D47" i="7"/>
  <c r="I46" i="7"/>
  <c r="F46" i="7"/>
  <c r="D46" i="7"/>
  <c r="I45" i="7"/>
  <c r="F45" i="7"/>
  <c r="D45" i="7"/>
  <c r="I44" i="7"/>
  <c r="F44" i="7"/>
  <c r="D44" i="7"/>
  <c r="I43" i="7"/>
  <c r="F43" i="7"/>
  <c r="D43" i="7"/>
  <c r="I42" i="7"/>
  <c r="F42" i="7"/>
  <c r="D42" i="7"/>
  <c r="I41" i="7"/>
  <c r="F41" i="7"/>
  <c r="D41" i="7"/>
  <c r="I40" i="7"/>
  <c r="F40" i="7"/>
  <c r="D40" i="7"/>
  <c r="I39" i="7"/>
  <c r="F39" i="7"/>
  <c r="D39" i="7"/>
  <c r="I38" i="7"/>
  <c r="F38" i="7"/>
  <c r="D38" i="7"/>
  <c r="I37" i="7"/>
  <c r="F37" i="7"/>
  <c r="D37" i="7"/>
  <c r="I36" i="7"/>
  <c r="F36" i="7"/>
  <c r="D36" i="7"/>
  <c r="I35" i="7"/>
  <c r="F35" i="7"/>
  <c r="D35" i="7"/>
  <c r="I34" i="7"/>
  <c r="F34" i="7"/>
  <c r="D34" i="7"/>
  <c r="I33" i="7"/>
  <c r="F33" i="7"/>
  <c r="D33" i="7"/>
  <c r="I32" i="7"/>
  <c r="F32" i="7"/>
  <c r="D32" i="7"/>
  <c r="I31" i="7"/>
  <c r="F31" i="7"/>
  <c r="D31" i="7"/>
  <c r="I30" i="7"/>
  <c r="F30" i="7"/>
  <c r="D30" i="7"/>
  <c r="I29" i="7"/>
  <c r="F29" i="7"/>
  <c r="D29" i="7"/>
  <c r="I28" i="7"/>
  <c r="F28" i="7"/>
  <c r="D28" i="7"/>
  <c r="I27" i="7"/>
  <c r="F27" i="7"/>
  <c r="D27" i="7"/>
  <c r="I26" i="7"/>
  <c r="F26" i="7"/>
  <c r="D26" i="7"/>
  <c r="I25" i="7"/>
  <c r="F25" i="7"/>
  <c r="D25" i="7"/>
  <c r="I24" i="7"/>
  <c r="F24" i="7"/>
  <c r="D24" i="7"/>
  <c r="I23" i="7"/>
  <c r="F23" i="7"/>
  <c r="D23" i="7"/>
  <c r="I22" i="7"/>
  <c r="F22" i="7"/>
  <c r="D22" i="7"/>
  <c r="I21" i="7"/>
  <c r="F21" i="7"/>
  <c r="D21" i="7"/>
  <c r="I20" i="7"/>
  <c r="F20" i="7"/>
  <c r="D20" i="7"/>
  <c r="I19" i="7"/>
  <c r="F19" i="7"/>
  <c r="D19" i="7"/>
  <c r="I18" i="7"/>
  <c r="F18" i="7"/>
  <c r="D18" i="7"/>
  <c r="I17" i="7"/>
  <c r="F17" i="7"/>
  <c r="D17" i="7"/>
  <c r="I16" i="7"/>
  <c r="F16" i="7"/>
  <c r="D16" i="7"/>
  <c r="I15" i="7"/>
  <c r="F15" i="7"/>
  <c r="D15" i="7"/>
  <c r="I14" i="7"/>
  <c r="F14" i="7"/>
  <c r="D14" i="7"/>
  <c r="I13" i="7"/>
  <c r="F13" i="7"/>
  <c r="D13" i="7"/>
  <c r="I12" i="7"/>
  <c r="F12" i="7"/>
  <c r="D12" i="7"/>
  <c r="I11" i="7"/>
  <c r="F11" i="7"/>
  <c r="D11" i="7"/>
  <c r="I10" i="7"/>
  <c r="F10" i="7"/>
  <c r="D10" i="7"/>
  <c r="I9" i="7"/>
  <c r="F9" i="7"/>
  <c r="D9" i="7"/>
  <c r="I8" i="7"/>
  <c r="F8" i="7"/>
  <c r="D8" i="7"/>
  <c r="I7" i="7"/>
  <c r="F7" i="7"/>
  <c r="D7" i="7"/>
  <c r="I6" i="7"/>
  <c r="F6" i="7"/>
  <c r="D6" i="7"/>
  <c r="I5" i="7"/>
  <c r="F5" i="7"/>
  <c r="D5" i="7"/>
  <c r="I4" i="7"/>
  <c r="F4" i="7"/>
  <c r="D4" i="7"/>
  <c r="I3" i="7"/>
  <c r="F3" i="7"/>
  <c r="D3" i="7"/>
  <c r="I2" i="7"/>
  <c r="F2" i="7"/>
  <c r="D2" i="7"/>
  <c r="W209" i="6"/>
  <c r="I209" i="6"/>
  <c r="G209" i="6"/>
  <c r="W208" i="6"/>
  <c r="I208" i="6"/>
  <c r="G208" i="6"/>
  <c r="W207" i="6"/>
  <c r="I207" i="6"/>
  <c r="G207" i="6"/>
  <c r="W206" i="6"/>
  <c r="I206" i="6"/>
  <c r="G206" i="6"/>
  <c r="W205" i="6"/>
  <c r="I205" i="6"/>
  <c r="G205" i="6"/>
  <c r="W204" i="6"/>
  <c r="I204" i="6"/>
  <c r="G204" i="6"/>
  <c r="W203" i="6"/>
  <c r="I203" i="6"/>
  <c r="G203" i="6"/>
  <c r="W202" i="6"/>
  <c r="I202" i="6"/>
  <c r="G202" i="6"/>
  <c r="W201" i="6"/>
  <c r="I201" i="6"/>
  <c r="G201" i="6"/>
  <c r="W200" i="6"/>
  <c r="I200" i="6"/>
  <c r="G200" i="6"/>
  <c r="W199" i="6"/>
  <c r="I199" i="6"/>
  <c r="G199" i="6"/>
  <c r="W198" i="6"/>
  <c r="I198" i="6"/>
  <c r="G198" i="6"/>
  <c r="W197" i="6"/>
  <c r="I197" i="6"/>
  <c r="G197" i="6"/>
  <c r="W196" i="6"/>
  <c r="I196" i="6"/>
  <c r="G196" i="6"/>
  <c r="W195" i="6"/>
  <c r="I195" i="6"/>
  <c r="G195" i="6"/>
  <c r="W194" i="6"/>
  <c r="I194" i="6"/>
  <c r="G194" i="6"/>
  <c r="W193" i="6"/>
  <c r="I193" i="6"/>
  <c r="G193" i="6"/>
  <c r="W192" i="6"/>
  <c r="I192" i="6"/>
  <c r="G192" i="6"/>
  <c r="W191" i="6"/>
  <c r="I191" i="6"/>
  <c r="G191" i="6"/>
  <c r="W190" i="6"/>
  <c r="I190" i="6"/>
  <c r="G190" i="6"/>
  <c r="W189" i="6"/>
  <c r="I189" i="6"/>
  <c r="G189" i="6"/>
  <c r="W188" i="6"/>
  <c r="I188" i="6"/>
  <c r="G188" i="6"/>
  <c r="W187" i="6"/>
  <c r="I187" i="6"/>
  <c r="G187" i="6"/>
  <c r="W186" i="6"/>
  <c r="I186" i="6"/>
  <c r="G186" i="6"/>
  <c r="W185" i="6"/>
  <c r="I185" i="6"/>
  <c r="G185" i="6"/>
  <c r="W184" i="6"/>
  <c r="I184" i="6"/>
  <c r="G184" i="6"/>
  <c r="W183" i="6"/>
  <c r="I183" i="6"/>
  <c r="G183" i="6"/>
  <c r="W182" i="6"/>
  <c r="I182" i="6"/>
  <c r="G182" i="6"/>
  <c r="W181" i="6"/>
  <c r="I181" i="6"/>
  <c r="G181" i="6"/>
  <c r="W180" i="6"/>
  <c r="I180" i="6"/>
  <c r="G180" i="6"/>
  <c r="W179" i="6"/>
  <c r="I179" i="6"/>
  <c r="G179" i="6"/>
  <c r="W178" i="6"/>
  <c r="I178" i="6"/>
  <c r="G178" i="6"/>
  <c r="W177" i="6"/>
  <c r="I177" i="6"/>
  <c r="G177" i="6"/>
  <c r="W176" i="6"/>
  <c r="I176" i="6"/>
  <c r="G176" i="6"/>
  <c r="W175" i="6"/>
  <c r="I175" i="6"/>
  <c r="G175" i="6"/>
  <c r="W174" i="6"/>
  <c r="I174" i="6"/>
  <c r="G174" i="6"/>
  <c r="W173" i="6"/>
  <c r="I173" i="6"/>
  <c r="G173" i="6"/>
  <c r="W172" i="6"/>
  <c r="I172" i="6"/>
  <c r="G172" i="6"/>
  <c r="W171" i="6"/>
  <c r="I171" i="6"/>
  <c r="G171" i="6"/>
  <c r="W170" i="6"/>
  <c r="I170" i="6"/>
  <c r="G170" i="6"/>
  <c r="W169" i="6"/>
  <c r="I169" i="6"/>
  <c r="G169" i="6"/>
  <c r="W168" i="6"/>
  <c r="I168" i="6"/>
  <c r="G168" i="6"/>
  <c r="W167" i="6"/>
  <c r="I167" i="6"/>
  <c r="G167" i="6"/>
  <c r="W166" i="6"/>
  <c r="I166" i="6"/>
  <c r="G166" i="6"/>
  <c r="W165" i="6"/>
  <c r="I165" i="6"/>
  <c r="G165" i="6"/>
  <c r="W164" i="6"/>
  <c r="I164" i="6"/>
  <c r="G164" i="6"/>
  <c r="W163" i="6"/>
  <c r="I163" i="6"/>
  <c r="G163" i="6"/>
  <c r="W162" i="6"/>
  <c r="I162" i="6"/>
  <c r="G162" i="6"/>
  <c r="W161" i="6"/>
  <c r="I161" i="6"/>
  <c r="G161" i="6"/>
  <c r="W160" i="6"/>
  <c r="I160" i="6"/>
  <c r="G160" i="6"/>
  <c r="W159" i="6"/>
  <c r="I159" i="6"/>
  <c r="G159" i="6"/>
  <c r="W158" i="6"/>
  <c r="I158" i="6"/>
  <c r="G158" i="6"/>
  <c r="W157" i="6"/>
  <c r="I157" i="6"/>
  <c r="G157" i="6"/>
  <c r="W156" i="6"/>
  <c r="I156" i="6"/>
  <c r="G156" i="6"/>
  <c r="W155" i="6"/>
  <c r="I155" i="6"/>
  <c r="G155" i="6"/>
  <c r="W154" i="6"/>
  <c r="I154" i="6"/>
  <c r="G154" i="6"/>
  <c r="W153" i="6"/>
  <c r="I153" i="6"/>
  <c r="G153" i="6"/>
  <c r="W152" i="6"/>
  <c r="I152" i="6"/>
  <c r="G152" i="6"/>
  <c r="W151" i="6"/>
  <c r="I151" i="6"/>
  <c r="G151" i="6"/>
  <c r="W150" i="6"/>
  <c r="I150" i="6"/>
  <c r="G150" i="6"/>
  <c r="W149" i="6"/>
  <c r="I149" i="6"/>
  <c r="G149" i="6"/>
  <c r="W148" i="6"/>
  <c r="I148" i="6"/>
  <c r="G148" i="6"/>
  <c r="W147" i="6"/>
  <c r="I147" i="6"/>
  <c r="G147" i="6"/>
  <c r="W146" i="6"/>
  <c r="I146" i="6"/>
  <c r="G146" i="6"/>
  <c r="W145" i="6"/>
  <c r="I145" i="6"/>
  <c r="G145" i="6"/>
  <c r="W144" i="6"/>
  <c r="I144" i="6"/>
  <c r="G144" i="6"/>
  <c r="W143" i="6"/>
  <c r="I143" i="6"/>
  <c r="G143" i="6"/>
  <c r="W142" i="6"/>
  <c r="I142" i="6"/>
  <c r="G142" i="6"/>
  <c r="W141" i="6"/>
  <c r="I141" i="6"/>
  <c r="G141" i="6"/>
  <c r="W140" i="6"/>
  <c r="I140" i="6"/>
  <c r="G140" i="6"/>
  <c r="W139" i="6"/>
  <c r="I139" i="6"/>
  <c r="G139" i="6"/>
  <c r="W138" i="6"/>
  <c r="I138" i="6"/>
  <c r="G138" i="6"/>
  <c r="W137" i="6"/>
  <c r="I137" i="6"/>
  <c r="G137" i="6"/>
  <c r="W136" i="6"/>
  <c r="I136" i="6"/>
  <c r="G136" i="6"/>
  <c r="W135" i="6"/>
  <c r="I135" i="6"/>
  <c r="G135" i="6"/>
  <c r="W134" i="6"/>
  <c r="I134" i="6"/>
  <c r="G134" i="6"/>
  <c r="W133" i="6"/>
  <c r="I133" i="6"/>
  <c r="G133" i="6"/>
  <c r="W132" i="6"/>
  <c r="I132" i="6"/>
  <c r="G132" i="6"/>
  <c r="W131" i="6"/>
  <c r="I131" i="6"/>
  <c r="G131" i="6"/>
  <c r="W130" i="6"/>
  <c r="I130" i="6"/>
  <c r="G130" i="6"/>
  <c r="W129" i="6"/>
  <c r="I129" i="6"/>
  <c r="G129" i="6"/>
  <c r="W128" i="6"/>
  <c r="I128" i="6"/>
  <c r="G128" i="6"/>
  <c r="W127" i="6"/>
  <c r="I127" i="6"/>
  <c r="G127" i="6"/>
  <c r="W126" i="6"/>
  <c r="I126" i="6"/>
  <c r="G126" i="6"/>
  <c r="W125" i="6"/>
  <c r="I125" i="6"/>
  <c r="G125" i="6"/>
  <c r="W124" i="6"/>
  <c r="I124" i="6"/>
  <c r="G124" i="6"/>
  <c r="W123" i="6"/>
  <c r="I123" i="6"/>
  <c r="G123" i="6"/>
  <c r="W122" i="6"/>
  <c r="I122" i="6"/>
  <c r="G122" i="6"/>
  <c r="W121" i="6"/>
  <c r="I121" i="6"/>
  <c r="G121" i="6"/>
  <c r="W120" i="6"/>
  <c r="I120" i="6"/>
  <c r="G120" i="6"/>
  <c r="W119" i="6"/>
  <c r="I119" i="6"/>
  <c r="G119" i="6"/>
  <c r="W118" i="6"/>
  <c r="I118" i="6"/>
  <c r="G118" i="6"/>
  <c r="W117" i="6"/>
  <c r="I117" i="6"/>
  <c r="G117" i="6"/>
  <c r="W116" i="6"/>
  <c r="I116" i="6"/>
  <c r="G116" i="6"/>
  <c r="W115" i="6"/>
  <c r="I115" i="6"/>
  <c r="G115" i="6"/>
  <c r="W114" i="6"/>
  <c r="I114" i="6"/>
  <c r="G114" i="6"/>
  <c r="W113" i="6"/>
  <c r="I113" i="6"/>
  <c r="G113" i="6"/>
  <c r="W112" i="6"/>
  <c r="I112" i="6"/>
  <c r="G112" i="6"/>
  <c r="W111" i="6"/>
  <c r="I111" i="6"/>
  <c r="G111" i="6"/>
  <c r="W110" i="6"/>
  <c r="I110" i="6"/>
  <c r="G110" i="6"/>
  <c r="W109" i="6"/>
  <c r="I109" i="6"/>
  <c r="G109" i="6"/>
  <c r="W108" i="6"/>
  <c r="I108" i="6"/>
  <c r="G108" i="6"/>
  <c r="W107" i="6"/>
  <c r="I107" i="6"/>
  <c r="G107" i="6"/>
  <c r="W106" i="6"/>
  <c r="I106" i="6"/>
  <c r="G106" i="6"/>
  <c r="W105" i="6"/>
  <c r="I105" i="6"/>
  <c r="G105" i="6"/>
  <c r="W104" i="6"/>
  <c r="I104" i="6"/>
  <c r="G104" i="6"/>
  <c r="W103" i="6"/>
  <c r="I103" i="6"/>
  <c r="G103" i="6"/>
  <c r="W102" i="6"/>
  <c r="I102" i="6"/>
  <c r="G102" i="6"/>
  <c r="W101" i="6"/>
  <c r="I101" i="6"/>
  <c r="G101" i="6"/>
  <c r="W100" i="6"/>
  <c r="I100" i="6"/>
  <c r="G100" i="6"/>
  <c r="W99" i="6"/>
  <c r="I99" i="6"/>
  <c r="G99" i="6"/>
  <c r="W98" i="6"/>
  <c r="I98" i="6"/>
  <c r="G98" i="6"/>
  <c r="W97" i="6"/>
  <c r="I97" i="6"/>
  <c r="G97" i="6"/>
  <c r="W96" i="6"/>
  <c r="I96" i="6"/>
  <c r="G96" i="6"/>
  <c r="W95" i="6"/>
  <c r="I95" i="6"/>
  <c r="G95" i="6"/>
  <c r="W94" i="6"/>
  <c r="I94" i="6"/>
  <c r="G94" i="6"/>
  <c r="W93" i="6"/>
  <c r="I93" i="6"/>
  <c r="G93" i="6"/>
  <c r="W92" i="6"/>
  <c r="I92" i="6"/>
  <c r="G92" i="6"/>
  <c r="W91" i="6"/>
  <c r="I91" i="6"/>
  <c r="G91" i="6"/>
  <c r="W90" i="6"/>
  <c r="I90" i="6"/>
  <c r="G90" i="6"/>
  <c r="W89" i="6"/>
  <c r="I89" i="6"/>
  <c r="G89" i="6"/>
  <c r="W88" i="6"/>
  <c r="I88" i="6"/>
  <c r="G88" i="6"/>
  <c r="W87" i="6"/>
  <c r="I87" i="6"/>
  <c r="G87" i="6"/>
  <c r="W86" i="6"/>
  <c r="I86" i="6"/>
  <c r="G86" i="6"/>
  <c r="W85" i="6"/>
  <c r="I85" i="6"/>
  <c r="G85" i="6"/>
  <c r="W84" i="6"/>
  <c r="I84" i="6"/>
  <c r="G84" i="6"/>
  <c r="W83" i="6"/>
  <c r="I83" i="6"/>
  <c r="G83" i="6"/>
  <c r="W82" i="6"/>
  <c r="I82" i="6"/>
  <c r="G82" i="6"/>
  <c r="W81" i="6"/>
  <c r="I81" i="6"/>
  <c r="G81" i="6"/>
  <c r="W80" i="6"/>
  <c r="I80" i="6"/>
  <c r="G80" i="6"/>
  <c r="W79" i="6"/>
  <c r="I79" i="6"/>
  <c r="G79" i="6"/>
  <c r="W78" i="6"/>
  <c r="I78" i="6"/>
  <c r="G78" i="6"/>
  <c r="W77" i="6"/>
  <c r="I77" i="6"/>
  <c r="G77" i="6"/>
  <c r="W76" i="6"/>
  <c r="I76" i="6"/>
  <c r="G76" i="6"/>
  <c r="W75" i="6"/>
  <c r="I75" i="6"/>
  <c r="G75" i="6"/>
  <c r="W74" i="6"/>
  <c r="I74" i="6"/>
  <c r="G74" i="6"/>
  <c r="W73" i="6"/>
  <c r="I73" i="6"/>
  <c r="G73" i="6"/>
  <c r="W72" i="6"/>
  <c r="I72" i="6"/>
  <c r="G72" i="6"/>
  <c r="W71" i="6"/>
  <c r="I71" i="6"/>
  <c r="G71" i="6"/>
  <c r="W70" i="6"/>
  <c r="I70" i="6"/>
  <c r="G70" i="6"/>
  <c r="W69" i="6"/>
  <c r="I69" i="6"/>
  <c r="G69" i="6"/>
  <c r="W68" i="6"/>
  <c r="I68" i="6"/>
  <c r="G68" i="6"/>
  <c r="W67" i="6"/>
  <c r="I67" i="6"/>
  <c r="G67" i="6"/>
  <c r="W66" i="6"/>
  <c r="I66" i="6"/>
  <c r="G66" i="6"/>
  <c r="W65" i="6"/>
  <c r="I65" i="6"/>
  <c r="G65" i="6"/>
  <c r="W64" i="6"/>
  <c r="I64" i="6"/>
  <c r="G64" i="6"/>
  <c r="W63" i="6"/>
  <c r="I63" i="6"/>
  <c r="G63" i="6"/>
  <c r="W62" i="6"/>
  <c r="I62" i="6"/>
  <c r="G62" i="6"/>
  <c r="W61" i="6"/>
  <c r="I61" i="6"/>
  <c r="G61" i="6"/>
  <c r="W60" i="6"/>
  <c r="I60" i="6"/>
  <c r="G60" i="6"/>
  <c r="W59" i="6"/>
  <c r="I59" i="6"/>
  <c r="G59" i="6"/>
  <c r="W58" i="6"/>
  <c r="I58" i="6"/>
  <c r="G58" i="6"/>
  <c r="W57" i="6"/>
  <c r="I57" i="6"/>
  <c r="G57" i="6"/>
  <c r="W56" i="6"/>
  <c r="I56" i="6"/>
  <c r="G56" i="6"/>
  <c r="W55" i="6"/>
  <c r="I55" i="6"/>
  <c r="G55" i="6"/>
  <c r="W54" i="6"/>
  <c r="I54" i="6"/>
  <c r="G54" i="6"/>
  <c r="W53" i="6"/>
  <c r="I53" i="6"/>
  <c r="G53" i="6"/>
  <c r="W52" i="6"/>
  <c r="I52" i="6"/>
  <c r="G52" i="6"/>
  <c r="W51" i="6"/>
  <c r="I51" i="6"/>
  <c r="G51" i="6"/>
  <c r="W50" i="6"/>
  <c r="I50" i="6"/>
  <c r="G50" i="6"/>
  <c r="W49" i="6"/>
  <c r="I49" i="6"/>
  <c r="G49" i="6"/>
  <c r="W48" i="6"/>
  <c r="I48" i="6"/>
  <c r="G48" i="6"/>
  <c r="W47" i="6"/>
  <c r="I47" i="6"/>
  <c r="G47" i="6"/>
  <c r="W46" i="6"/>
  <c r="I46" i="6"/>
  <c r="G46" i="6"/>
  <c r="W45" i="6"/>
  <c r="I45" i="6"/>
  <c r="G45" i="6"/>
  <c r="W44" i="6"/>
  <c r="I44" i="6"/>
  <c r="G44" i="6"/>
  <c r="W43" i="6"/>
  <c r="I43" i="6"/>
  <c r="G43" i="6"/>
  <c r="W42" i="6"/>
  <c r="I42" i="6"/>
  <c r="G42" i="6"/>
  <c r="W41" i="6"/>
  <c r="I41" i="6"/>
  <c r="G41" i="6"/>
  <c r="W40" i="6"/>
  <c r="I40" i="6"/>
  <c r="G40" i="6"/>
  <c r="W39" i="6"/>
  <c r="I39" i="6"/>
  <c r="G39" i="6"/>
  <c r="W38" i="6"/>
  <c r="I38" i="6"/>
  <c r="G38" i="6"/>
  <c r="W37" i="6"/>
  <c r="I37" i="6"/>
  <c r="G37" i="6"/>
  <c r="W36" i="6"/>
  <c r="I36" i="6"/>
  <c r="G36" i="6"/>
  <c r="W35" i="6"/>
  <c r="I35" i="6"/>
  <c r="G35" i="6"/>
  <c r="W34" i="6"/>
  <c r="I34" i="6"/>
  <c r="G34" i="6"/>
  <c r="W33" i="6"/>
  <c r="I33" i="6"/>
  <c r="G33" i="6"/>
  <c r="W32" i="6"/>
  <c r="I32" i="6"/>
  <c r="G32" i="6"/>
  <c r="W31" i="6"/>
  <c r="I31" i="6"/>
  <c r="G31" i="6"/>
  <c r="W30" i="6"/>
  <c r="I30" i="6"/>
  <c r="G30" i="6"/>
  <c r="W29" i="6"/>
  <c r="I29" i="6"/>
  <c r="G29" i="6"/>
  <c r="W28" i="6"/>
  <c r="I28" i="6"/>
  <c r="G28" i="6"/>
  <c r="W27" i="6"/>
  <c r="I27" i="6"/>
  <c r="G27" i="6"/>
  <c r="W26" i="6"/>
  <c r="I26" i="6"/>
  <c r="G26" i="6"/>
  <c r="W25" i="6"/>
  <c r="I25" i="6"/>
  <c r="G25" i="6"/>
  <c r="W24" i="6"/>
  <c r="I24" i="6"/>
  <c r="G24" i="6"/>
  <c r="W23" i="6"/>
  <c r="I23" i="6"/>
  <c r="G23" i="6"/>
  <c r="W22" i="6"/>
  <c r="I22" i="6"/>
  <c r="G22" i="6"/>
  <c r="W21" i="6"/>
  <c r="I21" i="6"/>
  <c r="G21" i="6"/>
  <c r="W20" i="6"/>
  <c r="I20" i="6"/>
  <c r="G20" i="6"/>
  <c r="W19" i="6"/>
  <c r="I19" i="6"/>
  <c r="G19" i="6"/>
  <c r="W18" i="6"/>
  <c r="I18" i="6"/>
  <c r="G18" i="6"/>
  <c r="W17" i="6"/>
  <c r="I17" i="6"/>
  <c r="G17" i="6"/>
  <c r="W16" i="6"/>
  <c r="I16" i="6"/>
  <c r="G16" i="6"/>
  <c r="W15" i="6"/>
  <c r="I15" i="6"/>
  <c r="G15" i="6"/>
  <c r="W14" i="6"/>
  <c r="I14" i="6"/>
  <c r="G14" i="6"/>
  <c r="W13" i="6"/>
  <c r="I13" i="6"/>
  <c r="G13" i="6"/>
  <c r="W12" i="6"/>
  <c r="I12" i="6"/>
  <c r="G12" i="6"/>
  <c r="W11" i="6"/>
  <c r="I11" i="6"/>
  <c r="G11" i="6"/>
  <c r="W10" i="6"/>
  <c r="I10" i="6"/>
  <c r="G10" i="6"/>
  <c r="W9" i="6"/>
  <c r="I9" i="6"/>
  <c r="G9" i="6"/>
  <c r="W8" i="6"/>
  <c r="I8" i="6"/>
  <c r="G8" i="6"/>
  <c r="W7" i="6"/>
  <c r="I7" i="6"/>
  <c r="G7" i="6"/>
  <c r="W6" i="6"/>
  <c r="I6" i="6"/>
  <c r="G6" i="6"/>
  <c r="W5" i="6"/>
  <c r="I5" i="6"/>
  <c r="G5" i="6"/>
  <c r="W4" i="6"/>
  <c r="I4" i="6"/>
  <c r="G4" i="6"/>
  <c r="W3" i="6"/>
  <c r="I3" i="6"/>
  <c r="G3" i="6"/>
  <c r="W2" i="6"/>
  <c r="I2" i="6"/>
  <c r="G2" i="6"/>
  <c r="N105" i="5"/>
  <c r="J105" i="5"/>
  <c r="H105" i="5"/>
  <c r="F105" i="5"/>
  <c r="N104" i="5"/>
  <c r="J104" i="5"/>
  <c r="H104" i="5"/>
  <c r="F104" i="5"/>
  <c r="N103" i="5"/>
  <c r="J103" i="5"/>
  <c r="H103" i="5"/>
  <c r="F103" i="5"/>
  <c r="N102" i="5"/>
  <c r="J102" i="5"/>
  <c r="H102" i="5"/>
  <c r="F102" i="5"/>
  <c r="N101" i="5"/>
  <c r="J101" i="5"/>
  <c r="H101" i="5"/>
  <c r="F101" i="5"/>
  <c r="N100" i="5"/>
  <c r="J100" i="5"/>
  <c r="H100" i="5"/>
  <c r="F100" i="5"/>
  <c r="N99" i="5"/>
  <c r="J99" i="5"/>
  <c r="H99" i="5"/>
  <c r="F99" i="5"/>
  <c r="N98" i="5"/>
  <c r="J98" i="5"/>
  <c r="H98" i="5"/>
  <c r="F98" i="5"/>
  <c r="N97" i="5"/>
  <c r="J97" i="5"/>
  <c r="H97" i="5"/>
  <c r="F97" i="5"/>
  <c r="N96" i="5"/>
  <c r="J96" i="5"/>
  <c r="H96" i="5"/>
  <c r="F96" i="5"/>
  <c r="N95" i="5"/>
  <c r="J95" i="5"/>
  <c r="H95" i="5"/>
  <c r="F95" i="5"/>
  <c r="N94" i="5"/>
  <c r="J94" i="5"/>
  <c r="H94" i="5"/>
  <c r="F94" i="5"/>
  <c r="N93" i="5"/>
  <c r="J93" i="5"/>
  <c r="H93" i="5"/>
  <c r="F93" i="5"/>
  <c r="N92" i="5"/>
  <c r="J92" i="5"/>
  <c r="H92" i="5"/>
  <c r="F92" i="5"/>
  <c r="N91" i="5"/>
  <c r="J91" i="5"/>
  <c r="H91" i="5"/>
  <c r="F91" i="5"/>
  <c r="N90" i="5"/>
  <c r="J90" i="5"/>
  <c r="H90" i="5"/>
  <c r="F90" i="5"/>
  <c r="N89" i="5"/>
  <c r="J89" i="5"/>
  <c r="H89" i="5"/>
  <c r="F89" i="5"/>
  <c r="N88" i="5"/>
  <c r="J88" i="5"/>
  <c r="H88" i="5"/>
  <c r="F88" i="5"/>
  <c r="N87" i="5"/>
  <c r="J87" i="5"/>
  <c r="H87" i="5"/>
  <c r="F87" i="5"/>
  <c r="N86" i="5"/>
  <c r="J86" i="5"/>
  <c r="H86" i="5"/>
  <c r="F86" i="5"/>
  <c r="N85" i="5"/>
  <c r="J85" i="5"/>
  <c r="H85" i="5"/>
  <c r="F85" i="5"/>
  <c r="N84" i="5"/>
  <c r="J84" i="5"/>
  <c r="H84" i="5"/>
  <c r="F84" i="5"/>
  <c r="N83" i="5"/>
  <c r="J83" i="5"/>
  <c r="H83" i="5"/>
  <c r="F83" i="5"/>
  <c r="N82" i="5"/>
  <c r="J82" i="5"/>
  <c r="H82" i="5"/>
  <c r="F82" i="5"/>
  <c r="N81" i="5"/>
  <c r="J81" i="5"/>
  <c r="H81" i="5"/>
  <c r="F81" i="5"/>
  <c r="N80" i="5"/>
  <c r="J80" i="5"/>
  <c r="H80" i="5"/>
  <c r="F80" i="5"/>
  <c r="N79" i="5"/>
  <c r="J79" i="5"/>
  <c r="H79" i="5"/>
  <c r="F79" i="5"/>
  <c r="N78" i="5"/>
  <c r="J78" i="5"/>
  <c r="H78" i="5"/>
  <c r="F78" i="5"/>
  <c r="N77" i="5"/>
  <c r="J77" i="5"/>
  <c r="H77" i="5"/>
  <c r="F77" i="5"/>
  <c r="N76" i="5"/>
  <c r="J76" i="5"/>
  <c r="H76" i="5"/>
  <c r="F76" i="5"/>
  <c r="N75" i="5"/>
  <c r="J75" i="5"/>
  <c r="H75" i="5"/>
  <c r="F75" i="5"/>
  <c r="N74" i="5"/>
  <c r="J74" i="5"/>
  <c r="H74" i="5"/>
  <c r="F74" i="5"/>
  <c r="N73" i="5"/>
  <c r="J73" i="5"/>
  <c r="H73" i="5"/>
  <c r="F73" i="5"/>
  <c r="N72" i="5"/>
  <c r="J72" i="5"/>
  <c r="H72" i="5"/>
  <c r="F72" i="5"/>
  <c r="N71" i="5"/>
  <c r="J71" i="5"/>
  <c r="H71" i="5"/>
  <c r="F71" i="5"/>
  <c r="N70" i="5"/>
  <c r="J70" i="5"/>
  <c r="H70" i="5"/>
  <c r="F70" i="5"/>
  <c r="N69" i="5"/>
  <c r="J69" i="5"/>
  <c r="H69" i="5"/>
  <c r="F69" i="5"/>
  <c r="N68" i="5"/>
  <c r="J68" i="5"/>
  <c r="H68" i="5"/>
  <c r="F68" i="5"/>
  <c r="N67" i="5"/>
  <c r="J67" i="5"/>
  <c r="H67" i="5"/>
  <c r="F67" i="5"/>
  <c r="N66" i="5"/>
  <c r="J66" i="5"/>
  <c r="H66" i="5"/>
  <c r="F66" i="5"/>
  <c r="N65" i="5"/>
  <c r="J65" i="5"/>
  <c r="H65" i="5"/>
  <c r="F65" i="5"/>
  <c r="N64" i="5"/>
  <c r="J64" i="5"/>
  <c r="H64" i="5"/>
  <c r="F64" i="5"/>
  <c r="N63" i="5"/>
  <c r="J63" i="5"/>
  <c r="H63" i="5"/>
  <c r="F63" i="5"/>
  <c r="N62" i="5"/>
  <c r="J62" i="5"/>
  <c r="H62" i="5"/>
  <c r="F62" i="5"/>
  <c r="N61" i="5"/>
  <c r="J61" i="5"/>
  <c r="H61" i="5"/>
  <c r="F61" i="5"/>
  <c r="N60" i="5"/>
  <c r="J60" i="5"/>
  <c r="H60" i="5"/>
  <c r="F60" i="5"/>
  <c r="N59" i="5"/>
  <c r="J59" i="5"/>
  <c r="H59" i="5"/>
  <c r="F59" i="5"/>
  <c r="N58" i="5"/>
  <c r="J58" i="5"/>
  <c r="H58" i="5"/>
  <c r="F58" i="5"/>
  <c r="N57" i="5"/>
  <c r="J57" i="5"/>
  <c r="H57" i="5"/>
  <c r="F57" i="5"/>
  <c r="N56" i="5"/>
  <c r="J56" i="5"/>
  <c r="H56" i="5"/>
  <c r="F56" i="5"/>
  <c r="N55" i="5"/>
  <c r="J55" i="5"/>
  <c r="H55" i="5"/>
  <c r="F55" i="5"/>
  <c r="N54" i="5"/>
  <c r="J54" i="5"/>
  <c r="H54" i="5"/>
  <c r="F54" i="5"/>
  <c r="N53" i="5"/>
  <c r="J53" i="5"/>
  <c r="H53" i="5"/>
  <c r="F53" i="5"/>
  <c r="N52" i="5"/>
  <c r="J52" i="5"/>
  <c r="H52" i="5"/>
  <c r="F52" i="5"/>
  <c r="N51" i="5"/>
  <c r="J51" i="5"/>
  <c r="H51" i="5"/>
  <c r="F51" i="5"/>
  <c r="N50" i="5"/>
  <c r="J50" i="5"/>
  <c r="H50" i="5"/>
  <c r="F50" i="5"/>
  <c r="N49" i="5"/>
  <c r="J49" i="5"/>
  <c r="H49" i="5"/>
  <c r="F49" i="5"/>
  <c r="N48" i="5"/>
  <c r="J48" i="5"/>
  <c r="H48" i="5"/>
  <c r="F48" i="5"/>
  <c r="N47" i="5"/>
  <c r="J47" i="5"/>
  <c r="H47" i="5"/>
  <c r="F47" i="5"/>
  <c r="N46" i="5"/>
  <c r="J46" i="5"/>
  <c r="H46" i="5"/>
  <c r="F46" i="5"/>
  <c r="N45" i="5"/>
  <c r="J45" i="5"/>
  <c r="H45" i="5"/>
  <c r="F45" i="5"/>
  <c r="N44" i="5"/>
  <c r="J44" i="5"/>
  <c r="H44" i="5"/>
  <c r="F44" i="5"/>
  <c r="N43" i="5"/>
  <c r="J43" i="5"/>
  <c r="H43" i="5"/>
  <c r="F43" i="5"/>
  <c r="N42" i="5"/>
  <c r="J42" i="5"/>
  <c r="H42" i="5"/>
  <c r="F42" i="5"/>
  <c r="N41" i="5"/>
  <c r="J41" i="5"/>
  <c r="H41" i="5"/>
  <c r="F41" i="5"/>
  <c r="N40" i="5"/>
  <c r="J40" i="5"/>
  <c r="H40" i="5"/>
  <c r="F40" i="5"/>
  <c r="N39" i="5"/>
  <c r="J39" i="5"/>
  <c r="H39" i="5"/>
  <c r="F39" i="5"/>
  <c r="N38" i="5"/>
  <c r="J38" i="5"/>
  <c r="H38" i="5"/>
  <c r="F38" i="5"/>
  <c r="N37" i="5"/>
  <c r="J37" i="5"/>
  <c r="H37" i="5"/>
  <c r="F37" i="5"/>
  <c r="N36" i="5"/>
  <c r="J36" i="5"/>
  <c r="H36" i="5"/>
  <c r="F36" i="5"/>
  <c r="N35" i="5"/>
  <c r="J35" i="5"/>
  <c r="H35" i="5"/>
  <c r="F35" i="5"/>
  <c r="N34" i="5"/>
  <c r="J34" i="5"/>
  <c r="H34" i="5"/>
  <c r="F34" i="5"/>
  <c r="N33" i="5"/>
  <c r="J33" i="5"/>
  <c r="H33" i="5"/>
  <c r="F33" i="5"/>
  <c r="N32" i="5"/>
  <c r="J32" i="5"/>
  <c r="H32" i="5"/>
  <c r="F32" i="5"/>
  <c r="N31" i="5"/>
  <c r="J31" i="5"/>
  <c r="H31" i="5"/>
  <c r="F31" i="5"/>
  <c r="N30" i="5"/>
  <c r="J30" i="5"/>
  <c r="H30" i="5"/>
  <c r="F30" i="5"/>
  <c r="N29" i="5"/>
  <c r="J29" i="5"/>
  <c r="H29" i="5"/>
  <c r="F29" i="5"/>
  <c r="N28" i="5"/>
  <c r="J28" i="5"/>
  <c r="H28" i="5"/>
  <c r="F28" i="5"/>
  <c r="N27" i="5"/>
  <c r="J27" i="5"/>
  <c r="H27" i="5"/>
  <c r="F27" i="5"/>
  <c r="N26" i="5"/>
  <c r="J26" i="5"/>
  <c r="H26" i="5"/>
  <c r="F26" i="5"/>
  <c r="N25" i="5"/>
  <c r="J25" i="5"/>
  <c r="H25" i="5"/>
  <c r="F25" i="5"/>
  <c r="N24" i="5"/>
  <c r="J24" i="5"/>
  <c r="H24" i="5"/>
  <c r="F24" i="5"/>
  <c r="N23" i="5"/>
  <c r="J23" i="5"/>
  <c r="H23" i="5"/>
  <c r="F23" i="5"/>
  <c r="N22" i="5"/>
  <c r="J22" i="5"/>
  <c r="H22" i="5"/>
  <c r="F22" i="5"/>
  <c r="N21" i="5"/>
  <c r="J21" i="5"/>
  <c r="H21" i="5"/>
  <c r="F21" i="5"/>
  <c r="N20" i="5"/>
  <c r="J20" i="5"/>
  <c r="H20" i="5"/>
  <c r="F20" i="5"/>
  <c r="N19" i="5"/>
  <c r="J19" i="5"/>
  <c r="H19" i="5"/>
  <c r="F19" i="5"/>
  <c r="N18" i="5"/>
  <c r="J18" i="5"/>
  <c r="H18" i="5"/>
  <c r="F18" i="5"/>
  <c r="N17" i="5"/>
  <c r="J17" i="5"/>
  <c r="H17" i="5"/>
  <c r="F17" i="5"/>
  <c r="N16" i="5"/>
  <c r="J16" i="5"/>
  <c r="H16" i="5"/>
  <c r="F16" i="5"/>
  <c r="N15" i="5"/>
  <c r="J15" i="5"/>
  <c r="H15" i="5"/>
  <c r="F15" i="5"/>
  <c r="N14" i="5"/>
  <c r="J14" i="5"/>
  <c r="H14" i="5"/>
  <c r="F14" i="5"/>
  <c r="N13" i="5"/>
  <c r="J13" i="5"/>
  <c r="H13" i="5"/>
  <c r="F13" i="5"/>
  <c r="N12" i="5"/>
  <c r="J12" i="5"/>
  <c r="H12" i="5"/>
  <c r="F12" i="5"/>
  <c r="N11" i="5"/>
  <c r="J11" i="5"/>
  <c r="H11" i="5"/>
  <c r="F11" i="5"/>
  <c r="N10" i="5"/>
  <c r="J10" i="5"/>
  <c r="H10" i="5"/>
  <c r="F10" i="5"/>
  <c r="N9" i="5"/>
  <c r="J9" i="5"/>
  <c r="H9" i="5"/>
  <c r="F9" i="5"/>
  <c r="N8" i="5"/>
  <c r="J8" i="5"/>
  <c r="H8" i="5"/>
  <c r="F8" i="5"/>
  <c r="N7" i="5"/>
  <c r="J7" i="5"/>
  <c r="H7" i="5"/>
  <c r="F7" i="5"/>
  <c r="N6" i="5"/>
  <c r="J6" i="5"/>
  <c r="H6" i="5"/>
  <c r="F6" i="5"/>
  <c r="N5" i="5"/>
  <c r="J5" i="5"/>
  <c r="H5" i="5"/>
  <c r="F5" i="5"/>
  <c r="N4" i="5"/>
  <c r="J4" i="5"/>
  <c r="H4" i="5"/>
  <c r="F4" i="5"/>
  <c r="N3" i="5"/>
  <c r="J3" i="5"/>
  <c r="H3" i="5"/>
  <c r="F3" i="5"/>
  <c r="N2" i="5"/>
  <c r="J2" i="5"/>
  <c r="H2" i="5"/>
  <c r="F2" i="5"/>
  <c r="L51" i="3"/>
  <c r="J51" i="3"/>
  <c r="I51" i="3"/>
  <c r="K51" i="3" s="1"/>
  <c r="H51" i="3"/>
  <c r="G51" i="3"/>
  <c r="F51" i="3"/>
  <c r="M51" i="3" s="1"/>
  <c r="E51" i="3"/>
  <c r="D51" i="3"/>
  <c r="C51" i="3"/>
  <c r="B51" i="3"/>
  <c r="L50" i="3"/>
  <c r="J50" i="3"/>
  <c r="I50" i="3"/>
  <c r="K50" i="3" s="1"/>
  <c r="H50" i="3"/>
  <c r="G50" i="3"/>
  <c r="F50" i="3"/>
  <c r="M50" i="3" s="1"/>
  <c r="E50" i="3"/>
  <c r="D50" i="3"/>
  <c r="C50" i="3"/>
  <c r="B50" i="3"/>
  <c r="M49" i="3"/>
  <c r="L49" i="3"/>
  <c r="J49" i="3"/>
  <c r="I49" i="3"/>
  <c r="K49" i="3" s="1"/>
  <c r="H49" i="3"/>
  <c r="G49" i="3"/>
  <c r="F49" i="3"/>
  <c r="E49" i="3"/>
  <c r="D49" i="3"/>
  <c r="C49" i="3"/>
  <c r="B49" i="3"/>
  <c r="M48" i="3"/>
  <c r="L48" i="3"/>
  <c r="J48" i="3"/>
  <c r="I48" i="3"/>
  <c r="K48" i="3" s="1"/>
  <c r="H48" i="3"/>
  <c r="G48" i="3"/>
  <c r="F48" i="3"/>
  <c r="E48" i="3"/>
  <c r="D48" i="3"/>
  <c r="C48" i="3"/>
  <c r="B48" i="3"/>
  <c r="L47" i="3"/>
  <c r="J47" i="3"/>
  <c r="I47" i="3"/>
  <c r="K47" i="3" s="1"/>
  <c r="H47" i="3"/>
  <c r="G47" i="3"/>
  <c r="F47" i="3"/>
  <c r="M47" i="3" s="1"/>
  <c r="E47" i="3"/>
  <c r="D47" i="3"/>
  <c r="C47" i="3"/>
  <c r="B47" i="3"/>
  <c r="L46" i="3"/>
  <c r="J46" i="3"/>
  <c r="I46" i="3"/>
  <c r="K46" i="3" s="1"/>
  <c r="H46" i="3"/>
  <c r="G46" i="3"/>
  <c r="F46" i="3"/>
  <c r="M46" i="3" s="1"/>
  <c r="E46" i="3"/>
  <c r="D46" i="3"/>
  <c r="C46" i="3"/>
  <c r="B46" i="3"/>
  <c r="M45" i="3"/>
  <c r="L45" i="3"/>
  <c r="K45" i="3"/>
  <c r="J45" i="3"/>
  <c r="I45" i="3"/>
  <c r="H45" i="3"/>
  <c r="G45" i="3"/>
  <c r="F45" i="3"/>
  <c r="E45" i="3"/>
  <c r="D45" i="3"/>
  <c r="C45" i="3"/>
  <c r="B45" i="3"/>
  <c r="M44" i="3"/>
  <c r="L44" i="3"/>
  <c r="J44" i="3"/>
  <c r="I44" i="3"/>
  <c r="K44" i="3" s="1"/>
  <c r="H44" i="3"/>
  <c r="G44" i="3"/>
  <c r="F44" i="3"/>
  <c r="E44" i="3"/>
  <c r="D44" i="3"/>
  <c r="C44" i="3"/>
  <c r="B44" i="3"/>
  <c r="L43" i="3"/>
  <c r="J43" i="3"/>
  <c r="I43" i="3"/>
  <c r="K43" i="3" s="1"/>
  <c r="H43" i="3"/>
  <c r="G43" i="3"/>
  <c r="F43" i="3"/>
  <c r="M43" i="3" s="1"/>
  <c r="E43" i="3"/>
  <c r="D43" i="3"/>
  <c r="C43" i="3"/>
  <c r="B43" i="3"/>
  <c r="L42" i="3"/>
  <c r="J42" i="3"/>
  <c r="I42" i="3"/>
  <c r="K42" i="3" s="1"/>
  <c r="H42" i="3"/>
  <c r="G42" i="3"/>
  <c r="F42" i="3"/>
  <c r="M42" i="3" s="1"/>
  <c r="E42" i="3"/>
  <c r="D42" i="3"/>
  <c r="C42" i="3"/>
  <c r="B42" i="3"/>
  <c r="M41" i="3"/>
  <c r="L41" i="3"/>
  <c r="K41" i="3"/>
  <c r="J41" i="3"/>
  <c r="I41" i="3"/>
  <c r="H41" i="3"/>
  <c r="G41" i="3"/>
  <c r="F41" i="3"/>
  <c r="E41" i="3"/>
  <c r="D41" i="3"/>
  <c r="C41" i="3"/>
  <c r="B41" i="3"/>
  <c r="M40" i="3"/>
  <c r="L40" i="3"/>
  <c r="J40" i="3"/>
  <c r="I40" i="3"/>
  <c r="K40" i="3" s="1"/>
  <c r="H40" i="3"/>
  <c r="G40" i="3"/>
  <c r="F40" i="3"/>
  <c r="E40" i="3"/>
  <c r="D40" i="3"/>
  <c r="C40" i="3"/>
  <c r="B40" i="3"/>
  <c r="L39" i="3"/>
  <c r="J39" i="3"/>
  <c r="I39" i="3"/>
  <c r="K39" i="3" s="1"/>
  <c r="H39" i="3"/>
  <c r="G39" i="3"/>
  <c r="F39" i="3"/>
  <c r="M39" i="3" s="1"/>
  <c r="E39" i="3"/>
  <c r="D39" i="3"/>
  <c r="C39" i="3"/>
  <c r="B39" i="3"/>
  <c r="L38" i="3"/>
  <c r="J38" i="3"/>
  <c r="I38" i="3"/>
  <c r="K38" i="3" s="1"/>
  <c r="H38" i="3"/>
  <c r="G38" i="3"/>
  <c r="F38" i="3"/>
  <c r="M38" i="3" s="1"/>
  <c r="E38" i="3"/>
  <c r="D38" i="3"/>
  <c r="C38" i="3"/>
  <c r="B38" i="3"/>
  <c r="M37" i="3"/>
  <c r="L37" i="3"/>
  <c r="K37" i="3"/>
  <c r="J37" i="3"/>
  <c r="I37" i="3"/>
  <c r="H37" i="3"/>
  <c r="G37" i="3"/>
  <c r="F37" i="3"/>
  <c r="E37" i="3"/>
  <c r="D37" i="3"/>
  <c r="C37" i="3"/>
  <c r="B37" i="3"/>
  <c r="M36" i="3"/>
  <c r="L36" i="3"/>
  <c r="J36" i="3"/>
  <c r="I36" i="3"/>
  <c r="K36" i="3" s="1"/>
  <c r="H36" i="3"/>
  <c r="G36" i="3"/>
  <c r="F36" i="3"/>
  <c r="E36" i="3"/>
  <c r="D36" i="3"/>
  <c r="C36" i="3"/>
  <c r="B36" i="3"/>
  <c r="L35" i="3"/>
  <c r="J35" i="3"/>
  <c r="I35" i="3"/>
  <c r="K35" i="3" s="1"/>
  <c r="H35" i="3"/>
  <c r="G35" i="3"/>
  <c r="F35" i="3"/>
  <c r="M35" i="3" s="1"/>
  <c r="E35" i="3"/>
  <c r="D35" i="3"/>
  <c r="C35" i="3"/>
  <c r="B35" i="3"/>
  <c r="L34" i="3"/>
  <c r="J34" i="3"/>
  <c r="I34" i="3"/>
  <c r="K34" i="3" s="1"/>
  <c r="H34" i="3"/>
  <c r="G34" i="3"/>
  <c r="F34" i="3"/>
  <c r="M34" i="3" s="1"/>
  <c r="E34" i="3"/>
  <c r="D34" i="3"/>
  <c r="C34" i="3"/>
  <c r="B34" i="3"/>
  <c r="M33" i="3"/>
  <c r="L33" i="3"/>
  <c r="J33" i="3"/>
  <c r="K33" i="3" s="1"/>
  <c r="I33" i="3"/>
  <c r="H33" i="3"/>
  <c r="G33" i="3"/>
  <c r="F33" i="3"/>
  <c r="E33" i="3"/>
  <c r="D33" i="3"/>
  <c r="C33" i="3"/>
  <c r="B33" i="3"/>
  <c r="M32" i="3"/>
  <c r="L32" i="3"/>
  <c r="J32" i="3"/>
  <c r="I32" i="3"/>
  <c r="K32" i="3" s="1"/>
  <c r="H32" i="3"/>
  <c r="G32" i="3"/>
  <c r="F32" i="3"/>
  <c r="E32" i="3"/>
  <c r="D32" i="3"/>
  <c r="C32" i="3"/>
  <c r="B32" i="3"/>
  <c r="L31" i="3"/>
  <c r="J31" i="3"/>
  <c r="I31" i="3"/>
  <c r="K31" i="3" s="1"/>
  <c r="H31" i="3"/>
  <c r="G31" i="3"/>
  <c r="F31" i="3"/>
  <c r="M31" i="3" s="1"/>
  <c r="E31" i="3"/>
  <c r="D31" i="3"/>
  <c r="C31" i="3"/>
  <c r="B31" i="3"/>
  <c r="T30" i="3"/>
  <c r="S30" i="3"/>
  <c r="R30" i="3"/>
  <c r="Q30" i="3"/>
  <c r="M30" i="3"/>
  <c r="L30" i="3"/>
  <c r="J30" i="3"/>
  <c r="I30" i="3"/>
  <c r="K30" i="3" s="1"/>
  <c r="H30" i="3"/>
  <c r="G30" i="3"/>
  <c r="F30" i="3"/>
  <c r="E30" i="3"/>
  <c r="D30" i="3"/>
  <c r="C30" i="3"/>
  <c r="B30" i="3"/>
  <c r="T29" i="3"/>
  <c r="S29" i="3"/>
  <c r="R29" i="3"/>
  <c r="Q29" i="3"/>
  <c r="M29" i="3"/>
  <c r="L29" i="3"/>
  <c r="J29" i="3"/>
  <c r="K29" i="3" s="1"/>
  <c r="I29" i="3"/>
  <c r="H29" i="3"/>
  <c r="G29" i="3"/>
  <c r="F29" i="3"/>
  <c r="E29" i="3"/>
  <c r="D29" i="3"/>
  <c r="C29" i="3"/>
  <c r="B29" i="3"/>
  <c r="T28" i="3"/>
  <c r="S28" i="3"/>
  <c r="R28" i="3"/>
  <c r="Q28" i="3"/>
  <c r="L28" i="3"/>
  <c r="J28" i="3"/>
  <c r="I28" i="3"/>
  <c r="K28" i="3" s="1"/>
  <c r="H28" i="3"/>
  <c r="G28" i="3"/>
  <c r="F28" i="3"/>
  <c r="M28" i="3" s="1"/>
  <c r="E28" i="3"/>
  <c r="D28" i="3"/>
  <c r="C28" i="3"/>
  <c r="B28" i="3"/>
  <c r="T27" i="3"/>
  <c r="S27" i="3"/>
  <c r="R27" i="3"/>
  <c r="Q27" i="3"/>
  <c r="L27" i="3"/>
  <c r="J27" i="3"/>
  <c r="I27" i="3"/>
  <c r="K27" i="3" s="1"/>
  <c r="H27" i="3"/>
  <c r="G27" i="3"/>
  <c r="F27" i="3"/>
  <c r="M27" i="3" s="1"/>
  <c r="E27" i="3"/>
  <c r="D27" i="3"/>
  <c r="C27" i="3"/>
  <c r="B27" i="3"/>
  <c r="T26" i="3"/>
  <c r="S26" i="3"/>
  <c r="R26" i="3"/>
  <c r="Q26" i="3"/>
  <c r="M26" i="3"/>
  <c r="L26" i="3"/>
  <c r="J26" i="3"/>
  <c r="I26" i="3"/>
  <c r="K26" i="3" s="1"/>
  <c r="H26" i="3"/>
  <c r="G26" i="3"/>
  <c r="F26" i="3"/>
  <c r="E26" i="3"/>
  <c r="D26" i="3"/>
  <c r="C26" i="3"/>
  <c r="B26" i="3"/>
  <c r="T25" i="3"/>
  <c r="S25" i="3"/>
  <c r="R25" i="3"/>
  <c r="Q25" i="3"/>
  <c r="M25" i="3"/>
  <c r="L25" i="3"/>
  <c r="J25" i="3"/>
  <c r="K25" i="3" s="1"/>
  <c r="I25" i="3"/>
  <c r="H25" i="3"/>
  <c r="G25" i="3"/>
  <c r="F25" i="3"/>
  <c r="E25" i="3"/>
  <c r="D25" i="3"/>
  <c r="C25" i="3"/>
  <c r="B25" i="3"/>
  <c r="T24" i="3"/>
  <c r="S24" i="3"/>
  <c r="R24" i="3"/>
  <c r="Q24" i="3"/>
  <c r="M24" i="3"/>
  <c r="L24" i="3"/>
  <c r="J24" i="3"/>
  <c r="K24" i="3" s="1"/>
  <c r="I24" i="3"/>
  <c r="H24" i="3"/>
  <c r="G24" i="3"/>
  <c r="F24" i="3"/>
  <c r="E24" i="3"/>
  <c r="D24" i="3"/>
  <c r="C24" i="3"/>
  <c r="B24" i="3"/>
  <c r="T23" i="3"/>
  <c r="S23" i="3"/>
  <c r="R23" i="3"/>
  <c r="Q23" i="3"/>
  <c r="M23" i="3"/>
  <c r="L23" i="3"/>
  <c r="J23" i="3"/>
  <c r="K23" i="3" s="1"/>
  <c r="I23" i="3"/>
  <c r="H23" i="3"/>
  <c r="G23" i="3"/>
  <c r="F23" i="3"/>
  <c r="E23" i="3"/>
  <c r="D23" i="3"/>
  <c r="C23" i="3"/>
  <c r="B23" i="3"/>
  <c r="T22" i="3"/>
  <c r="S22" i="3"/>
  <c r="R22" i="3"/>
  <c r="Q22" i="3"/>
  <c r="M22" i="3"/>
  <c r="L22" i="3"/>
  <c r="J22" i="3"/>
  <c r="K22" i="3" s="1"/>
  <c r="I22" i="3"/>
  <c r="H22" i="3"/>
  <c r="G22" i="3"/>
  <c r="F22" i="3"/>
  <c r="E22" i="3"/>
  <c r="D22" i="3"/>
  <c r="C22" i="3"/>
  <c r="B22" i="3"/>
  <c r="T21" i="3"/>
  <c r="S21" i="3"/>
  <c r="R21" i="3"/>
  <c r="Q21" i="3"/>
  <c r="M21" i="3"/>
  <c r="L21" i="3"/>
  <c r="J21" i="3"/>
  <c r="K21" i="3" s="1"/>
  <c r="I21" i="3"/>
  <c r="H21" i="3"/>
  <c r="G21" i="3"/>
  <c r="F21" i="3"/>
  <c r="E21" i="3"/>
  <c r="D21" i="3"/>
  <c r="C21" i="3"/>
  <c r="B21" i="3"/>
  <c r="T20" i="3"/>
  <c r="S20" i="3"/>
  <c r="R20" i="3"/>
  <c r="Q20" i="3"/>
  <c r="M20" i="3"/>
  <c r="L20" i="3"/>
  <c r="J20" i="3"/>
  <c r="K20" i="3" s="1"/>
  <c r="I20" i="3"/>
  <c r="H20" i="3"/>
  <c r="G20" i="3"/>
  <c r="F20" i="3"/>
  <c r="E20" i="3"/>
  <c r="D20" i="3"/>
  <c r="C20" i="3"/>
  <c r="B20" i="3"/>
  <c r="Z19" i="3"/>
  <c r="AA19" i="3" s="1"/>
  <c r="Y19" i="3"/>
  <c r="X19" i="3"/>
  <c r="W19" i="3"/>
  <c r="T19" i="3"/>
  <c r="S19" i="3"/>
  <c r="R19" i="3"/>
  <c r="Q19" i="3"/>
  <c r="L19" i="3"/>
  <c r="J19" i="3"/>
  <c r="K19" i="3" s="1"/>
  <c r="I19" i="3"/>
  <c r="H19" i="3"/>
  <c r="G19" i="3"/>
  <c r="F19" i="3"/>
  <c r="M19" i="3" s="1"/>
  <c r="E19" i="3"/>
  <c r="D19" i="3"/>
  <c r="C19" i="3"/>
  <c r="B19" i="3"/>
  <c r="Z18" i="3"/>
  <c r="AA18" i="3" s="1"/>
  <c r="Y18" i="3"/>
  <c r="X18" i="3"/>
  <c r="W18" i="3"/>
  <c r="T18" i="3"/>
  <c r="S18" i="3"/>
  <c r="R18" i="3"/>
  <c r="Q18" i="3"/>
  <c r="L18" i="3"/>
  <c r="J18" i="3"/>
  <c r="I18" i="3"/>
  <c r="K18" i="3" s="1"/>
  <c r="H18" i="3"/>
  <c r="G18" i="3"/>
  <c r="F18" i="3"/>
  <c r="M18" i="3" s="1"/>
  <c r="E18" i="3"/>
  <c r="D18" i="3"/>
  <c r="C18" i="3"/>
  <c r="B18" i="3"/>
  <c r="Z17" i="3"/>
  <c r="AA17" i="3" s="1"/>
  <c r="Y17" i="3"/>
  <c r="X17" i="3"/>
  <c r="W17" i="3"/>
  <c r="T17" i="3"/>
  <c r="S17" i="3"/>
  <c r="R17" i="3"/>
  <c r="Q17" i="3"/>
  <c r="M17" i="3"/>
  <c r="L17" i="3"/>
  <c r="J17" i="3"/>
  <c r="I17" i="3"/>
  <c r="K17" i="3" s="1"/>
  <c r="H17" i="3"/>
  <c r="G17" i="3"/>
  <c r="F17" i="3"/>
  <c r="E17" i="3"/>
  <c r="D17" i="3"/>
  <c r="C17" i="3"/>
  <c r="B17" i="3"/>
  <c r="Z16" i="3"/>
  <c r="AA16" i="3" s="1"/>
  <c r="Y16" i="3"/>
  <c r="X16" i="3"/>
  <c r="W16" i="3"/>
  <c r="T16" i="3"/>
  <c r="S16" i="3"/>
  <c r="R16" i="3"/>
  <c r="Q16" i="3"/>
  <c r="I5" i="2" s="1"/>
  <c r="L16" i="3"/>
  <c r="J16" i="3"/>
  <c r="I16" i="3"/>
  <c r="K16" i="3" s="1"/>
  <c r="H16" i="3"/>
  <c r="G16" i="3"/>
  <c r="F16" i="3"/>
  <c r="M16" i="3" s="1"/>
  <c r="E16" i="3"/>
  <c r="D16" i="3"/>
  <c r="C16" i="3"/>
  <c r="B16" i="3"/>
  <c r="AA15" i="3"/>
  <c r="Z15" i="3"/>
  <c r="Y15" i="3"/>
  <c r="X15" i="3"/>
  <c r="W15" i="3"/>
  <c r="L15" i="3"/>
  <c r="J15" i="3"/>
  <c r="K15" i="3" s="1"/>
  <c r="I15" i="3"/>
  <c r="H15" i="3"/>
  <c r="G15" i="3"/>
  <c r="F15" i="3"/>
  <c r="M15" i="3" s="1"/>
  <c r="E15" i="3"/>
  <c r="D15" i="3"/>
  <c r="C15" i="3"/>
  <c r="B15" i="3"/>
  <c r="Z14" i="3"/>
  <c r="AA14" i="3" s="1"/>
  <c r="Y14" i="3"/>
  <c r="X14" i="3"/>
  <c r="W14" i="3"/>
  <c r="L14" i="3"/>
  <c r="K14" i="3"/>
  <c r="J14" i="3"/>
  <c r="I14" i="3"/>
  <c r="H14" i="3"/>
  <c r="G14" i="3"/>
  <c r="F14" i="3"/>
  <c r="M14" i="3" s="1"/>
  <c r="E14" i="3"/>
  <c r="D14" i="3"/>
  <c r="C14" i="3"/>
  <c r="Z27" i="3" s="1"/>
  <c r="B14" i="3"/>
  <c r="Z13" i="3"/>
  <c r="AA13" i="3" s="1"/>
  <c r="Y13" i="3"/>
  <c r="X13" i="3"/>
  <c r="W13" i="3"/>
  <c r="L13" i="3"/>
  <c r="J13" i="3"/>
  <c r="I13" i="3"/>
  <c r="K13" i="3" s="1"/>
  <c r="H13" i="3"/>
  <c r="G13" i="3"/>
  <c r="F13" i="3"/>
  <c r="M13" i="3" s="1"/>
  <c r="E13" i="3"/>
  <c r="D13" i="3"/>
  <c r="C13" i="3"/>
  <c r="B13" i="3"/>
  <c r="AA12" i="3"/>
  <c r="Z12" i="3"/>
  <c r="Y12" i="3"/>
  <c r="X12" i="3"/>
  <c r="W12" i="3"/>
  <c r="L12" i="3"/>
  <c r="J12" i="3"/>
  <c r="I12" i="3"/>
  <c r="K12" i="3" s="1"/>
  <c r="H12" i="3"/>
  <c r="G12" i="3"/>
  <c r="F12" i="3"/>
  <c r="M12" i="3" s="1"/>
  <c r="E12" i="3"/>
  <c r="D12" i="3"/>
  <c r="C12" i="3"/>
  <c r="B12" i="3"/>
  <c r="Z11" i="3"/>
  <c r="AA11" i="3" s="1"/>
  <c r="Y11" i="3"/>
  <c r="X11" i="3"/>
  <c r="W11" i="3"/>
  <c r="L11" i="3"/>
  <c r="J11" i="3"/>
  <c r="I11" i="3"/>
  <c r="K11" i="3" s="1"/>
  <c r="H11" i="3"/>
  <c r="G11" i="3"/>
  <c r="F11" i="3"/>
  <c r="M11" i="3" s="1"/>
  <c r="E11" i="3"/>
  <c r="D11" i="3"/>
  <c r="C11" i="3"/>
  <c r="B11" i="3"/>
  <c r="Z10" i="3"/>
  <c r="Y10" i="3"/>
  <c r="AA10" i="3" s="1"/>
  <c r="X10" i="3"/>
  <c r="W10" i="3"/>
  <c r="Q10" i="3"/>
  <c r="R10" i="3" s="1"/>
  <c r="P10" i="3"/>
  <c r="M10" i="3"/>
  <c r="L10" i="3"/>
  <c r="J10" i="3"/>
  <c r="K10" i="3" s="1"/>
  <c r="I10" i="3"/>
  <c r="H10" i="3"/>
  <c r="G10" i="3"/>
  <c r="F10" i="3"/>
  <c r="E10" i="3"/>
  <c r="D10" i="3"/>
  <c r="C10" i="3"/>
  <c r="B10" i="3"/>
  <c r="Z9" i="3"/>
  <c r="Y9" i="3"/>
  <c r="AA9" i="3" s="1"/>
  <c r="X9" i="3"/>
  <c r="W9" i="3"/>
  <c r="Q9" i="3"/>
  <c r="R9" i="3" s="1"/>
  <c r="P9" i="3"/>
  <c r="L9" i="3"/>
  <c r="K9" i="3"/>
  <c r="J9" i="3"/>
  <c r="I9" i="3"/>
  <c r="H9" i="3"/>
  <c r="G9" i="3"/>
  <c r="F9" i="3"/>
  <c r="M9" i="3" s="1"/>
  <c r="E9" i="3"/>
  <c r="D9" i="3"/>
  <c r="C9" i="3"/>
  <c r="B9" i="3"/>
  <c r="Z8" i="3"/>
  <c r="AA8" i="3" s="1"/>
  <c r="Y8" i="3"/>
  <c r="X8" i="3"/>
  <c r="W8" i="3"/>
  <c r="Q8" i="3"/>
  <c r="R8" i="3" s="1"/>
  <c r="P8" i="3"/>
  <c r="L8" i="3"/>
  <c r="J8" i="3"/>
  <c r="K8" i="3" s="1"/>
  <c r="I8" i="3"/>
  <c r="H8" i="3"/>
  <c r="G8" i="3"/>
  <c r="F8" i="3"/>
  <c r="M8" i="3" s="1"/>
  <c r="E8" i="3"/>
  <c r="D8" i="3"/>
  <c r="C8" i="3"/>
  <c r="B8" i="3"/>
  <c r="Z7" i="3"/>
  <c r="AA7" i="3" s="1"/>
  <c r="Y7" i="3"/>
  <c r="X7" i="3"/>
  <c r="W7" i="3"/>
  <c r="Q7" i="3"/>
  <c r="R7" i="3" s="1"/>
  <c r="P7" i="3"/>
  <c r="L7" i="3"/>
  <c r="J7" i="3"/>
  <c r="I7" i="3"/>
  <c r="K7" i="3" s="1"/>
  <c r="H7" i="3"/>
  <c r="G7" i="3"/>
  <c r="F7" i="3"/>
  <c r="M7" i="3" s="1"/>
  <c r="E7" i="3"/>
  <c r="D7" i="3"/>
  <c r="C7" i="3"/>
  <c r="B7" i="3"/>
  <c r="Z6" i="3"/>
  <c r="Y6" i="3"/>
  <c r="AA6" i="3" s="1"/>
  <c r="X6" i="3"/>
  <c r="W6" i="3"/>
  <c r="Q6" i="3"/>
  <c r="R6" i="3" s="1"/>
  <c r="P6" i="3"/>
  <c r="M6" i="3"/>
  <c r="L6" i="3"/>
  <c r="J6" i="3"/>
  <c r="K6" i="3" s="1"/>
  <c r="I6" i="3"/>
  <c r="H6" i="3"/>
  <c r="G6" i="3"/>
  <c r="F6" i="3"/>
  <c r="E6" i="3"/>
  <c r="D6" i="3"/>
  <c r="C6" i="3"/>
  <c r="B6" i="3"/>
  <c r="Z5" i="3"/>
  <c r="Y5" i="3"/>
  <c r="AA5" i="3" s="1"/>
  <c r="X5" i="3"/>
  <c r="W5" i="3"/>
  <c r="Q5" i="3"/>
  <c r="R5" i="3" s="1"/>
  <c r="P5" i="3"/>
  <c r="L5" i="3"/>
  <c r="K5" i="3"/>
  <c r="J5" i="3"/>
  <c r="I5" i="3"/>
  <c r="H5" i="3"/>
  <c r="G5" i="3"/>
  <c r="F5" i="3"/>
  <c r="M5" i="3" s="1"/>
  <c r="E5" i="3"/>
  <c r="D5" i="3"/>
  <c r="C5" i="3"/>
  <c r="B5" i="3"/>
  <c r="Z4" i="3"/>
  <c r="AA4" i="3" s="1"/>
  <c r="Y4" i="3"/>
  <c r="X4" i="3"/>
  <c r="W4" i="3"/>
  <c r="Q4" i="3"/>
  <c r="R4" i="3" s="1"/>
  <c r="P4" i="3"/>
  <c r="L4" i="3"/>
  <c r="J4" i="3"/>
  <c r="K4" i="3" s="1"/>
  <c r="I4" i="3"/>
  <c r="H4" i="3"/>
  <c r="G4" i="3"/>
  <c r="F4" i="3"/>
  <c r="M4" i="3" s="1"/>
  <c r="E4" i="3"/>
  <c r="D4" i="3"/>
  <c r="C4" i="3"/>
  <c r="Y27" i="3" s="1"/>
  <c r="B4" i="3"/>
  <c r="K5" i="2" s="1"/>
  <c r="G5" i="2"/>
  <c r="E5" i="2"/>
  <c r="C5" i="2"/>
  <c r="A5" i="2"/>
  <c r="W25" i="3" l="1"/>
  <c r="W29" i="3"/>
  <c r="X25" i="3"/>
  <c r="X29" i="3"/>
  <c r="Z28" i="3"/>
  <c r="Y25" i="3"/>
  <c r="Y29" i="3"/>
  <c r="Z25" i="3"/>
  <c r="W30" i="3"/>
  <c r="X26" i="3"/>
  <c r="X30" i="3"/>
  <c r="W28" i="3"/>
  <c r="X28" i="3"/>
  <c r="Z29" i="3"/>
  <c r="Y26" i="3"/>
  <c r="Y30" i="3"/>
  <c r="W26" i="3"/>
  <c r="Z26" i="3"/>
  <c r="Z30" i="3"/>
  <c r="W27" i="3"/>
  <c r="Y28" i="3"/>
  <c r="X27" i="3"/>
</calcChain>
</file>

<file path=xl/sharedStrings.xml><?xml version="1.0" encoding="utf-8"?>
<sst xmlns="http://schemas.openxmlformats.org/spreadsheetml/2006/main" count="4360" uniqueCount="1638">
  <si>
    <t>FIFA World Cup 2026 — Tournament Dashboard</t>
  </si>
  <si>
    <t>All figures update automatically from the raw data sheets and PivotTables sheet.</t>
  </si>
  <si>
    <t>Total Teams</t>
  </si>
  <si>
    <t>Total Matches</t>
  </si>
  <si>
    <t>Total Goals</t>
  </si>
  <si>
    <t>Avg Goals / Match</t>
  </si>
  <si>
    <t>Top Scorer</t>
  </si>
  <si>
    <t>Points Leader</t>
  </si>
  <si>
    <t>Team Performance Summary</t>
  </si>
  <si>
    <t>Goals by Tournament Stage</t>
  </si>
  <si>
    <t>Stadium Utilization</t>
  </si>
  <si>
    <t>Every team ranked by tournament points, then goal difference. Source: MatchTeamStats.</t>
  </si>
  <si>
    <t>Source: Matches.</t>
  </si>
  <si>
    <t>Source: Matches, Stadiums.</t>
  </si>
  <si>
    <t>TeamID</t>
  </si>
  <si>
    <t>Team</t>
  </si>
  <si>
    <t>Confederation</t>
  </si>
  <si>
    <t>Group</t>
  </si>
  <si>
    <t>MP</t>
  </si>
  <si>
    <t>W</t>
  </si>
  <si>
    <t>D</t>
  </si>
  <si>
    <t>L</t>
  </si>
  <si>
    <t>GF</t>
  </si>
  <si>
    <t>GA</t>
  </si>
  <si>
    <t>GD</t>
  </si>
  <si>
    <t>Pts</t>
  </si>
  <si>
    <t>Win %</t>
  </si>
  <si>
    <t>Stage</t>
  </si>
  <si>
    <t>Matches</t>
  </si>
  <si>
    <t>Avg Goals/Match</t>
  </si>
  <si>
    <t>StadiumID</t>
  </si>
  <si>
    <t>Stadium</t>
  </si>
  <si>
    <t>City</t>
  </si>
  <si>
    <t>Matches Hosted</t>
  </si>
  <si>
    <t>First Stage</t>
  </si>
  <si>
    <t>Round of 32</t>
  </si>
  <si>
    <t>Round of 16</t>
  </si>
  <si>
    <t>Quarter-final</t>
  </si>
  <si>
    <t>Semi-final</t>
  </si>
  <si>
    <t>Bronze final</t>
  </si>
  <si>
    <t>Final</t>
  </si>
  <si>
    <t>Top 15 Goal Scorers</t>
  </si>
  <si>
    <t>Ranked by goals; row order is a fixed snapshot, goal counts recalc live. Source: Goals.</t>
  </si>
  <si>
    <t>Rank</t>
  </si>
  <si>
    <t>PlayerID</t>
  </si>
  <si>
    <t>Player</t>
  </si>
  <si>
    <t>Position</t>
  </si>
  <si>
    <t>Goals</t>
  </si>
  <si>
    <t>Confederation Summary</t>
  </si>
  <si>
    <t>Aggregated from Team Performance Summary (this sheet).</t>
  </si>
  <si>
    <t>Teams</t>
  </si>
  <si>
    <t>Total Wins</t>
  </si>
  <si>
    <t>Total Goals For</t>
  </si>
  <si>
    <t>Total Points</t>
  </si>
  <si>
    <t>UEFA</t>
  </si>
  <si>
    <t>CAF</t>
  </si>
  <si>
    <t>AFC</t>
  </si>
  <si>
    <t>CONMEBOL</t>
  </si>
  <si>
    <t>CONCACAF</t>
  </si>
  <si>
    <t>OFC</t>
  </si>
  <si>
    <t>TeamName</t>
  </si>
  <si>
    <t>CountryCode</t>
  </si>
  <si>
    <t>GroupName</t>
  </si>
  <si>
    <t>HostCountry</t>
  </si>
  <si>
    <t>Argentina</t>
  </si>
  <si>
    <t>ARG</t>
  </si>
  <si>
    <t>Group J</t>
  </si>
  <si>
    <t>Belgium</t>
  </si>
  <si>
    <t>BEL</t>
  </si>
  <si>
    <t>Group G</t>
  </si>
  <si>
    <t>Brazil</t>
  </si>
  <si>
    <t>BRA</t>
  </si>
  <si>
    <t>Group C</t>
  </si>
  <si>
    <t>Colombia</t>
  </si>
  <si>
    <t>COL</t>
  </si>
  <si>
    <t>Group K</t>
  </si>
  <si>
    <t>England</t>
  </si>
  <si>
    <t>ENG</t>
  </si>
  <si>
    <t>Group L</t>
  </si>
  <si>
    <t>France</t>
  </si>
  <si>
    <t>FRA</t>
  </si>
  <si>
    <t>Group I</t>
  </si>
  <si>
    <t>Germany</t>
  </si>
  <si>
    <t>GER</t>
  </si>
  <si>
    <t>Group E</t>
  </si>
  <si>
    <t>Mexico</t>
  </si>
  <si>
    <t>MEX</t>
  </si>
  <si>
    <t>Group A</t>
  </si>
  <si>
    <t>Netherlands</t>
  </si>
  <si>
    <t>NED</t>
  </si>
  <si>
    <t>Group F</t>
  </si>
  <si>
    <t>Spain</t>
  </si>
  <si>
    <t>ESP</t>
  </si>
  <si>
    <t>Group H</t>
  </si>
  <si>
    <t>Switzerland</t>
  </si>
  <si>
    <t>SUI</t>
  </si>
  <si>
    <t>Group B</t>
  </si>
  <si>
    <t>USA</t>
  </si>
  <si>
    <t>Group D</t>
  </si>
  <si>
    <t>United States</t>
  </si>
  <si>
    <t>Australia</t>
  </si>
  <si>
    <t>AUS</t>
  </si>
  <si>
    <t>Austria</t>
  </si>
  <si>
    <t>AUT</t>
  </si>
  <si>
    <t>Cabo Verde</t>
  </si>
  <si>
    <t>CPV</t>
  </si>
  <si>
    <t>Canada</t>
  </si>
  <si>
    <t>CAN</t>
  </si>
  <si>
    <t>Côte d'Ivoire</t>
  </si>
  <si>
    <t>CIV</t>
  </si>
  <si>
    <t>Croatia</t>
  </si>
  <si>
    <t>CRO</t>
  </si>
  <si>
    <t>Egypt</t>
  </si>
  <si>
    <t>EGY</t>
  </si>
  <si>
    <t>Japan</t>
  </si>
  <si>
    <t>JPN</t>
  </si>
  <si>
    <t>Morocco</t>
  </si>
  <si>
    <t>MAR</t>
  </si>
  <si>
    <t>Norway</t>
  </si>
  <si>
    <t>NOR</t>
  </si>
  <si>
    <t>Portugal</t>
  </si>
  <si>
    <t>POR</t>
  </si>
  <si>
    <t>South Africa</t>
  </si>
  <si>
    <t>RSA</t>
  </si>
  <si>
    <t>Algeria</t>
  </si>
  <si>
    <t>ALG</t>
  </si>
  <si>
    <t>Bosnia and Herzegovina</t>
  </si>
  <si>
    <t>BIH</t>
  </si>
  <si>
    <t>Congo DR</t>
  </si>
  <si>
    <t>COD</t>
  </si>
  <si>
    <t>Ecuador</t>
  </si>
  <si>
    <t>ECU</t>
  </si>
  <si>
    <t>Ghana</t>
  </si>
  <si>
    <t>GHA</t>
  </si>
  <si>
    <t>IR Iran</t>
  </si>
  <si>
    <t>IRN</t>
  </si>
  <si>
    <t>Korea Republic</t>
  </si>
  <si>
    <t>KOR</t>
  </si>
  <si>
    <t>Paraguay</t>
  </si>
  <si>
    <t>PAR</t>
  </si>
  <si>
    <t>Scotland</t>
  </si>
  <si>
    <t>SCO</t>
  </si>
  <si>
    <t>Senegal</t>
  </si>
  <si>
    <t>SEN</t>
  </si>
  <si>
    <t>Sweden</t>
  </si>
  <si>
    <t>SWE</t>
  </si>
  <si>
    <t>Uruguay</t>
  </si>
  <si>
    <t>URU</t>
  </si>
  <si>
    <t>Curaçao</t>
  </si>
  <si>
    <t>CUW</t>
  </si>
  <si>
    <t>Czechia</t>
  </si>
  <si>
    <t>CZE</t>
  </si>
  <si>
    <t>Haiti</t>
  </si>
  <si>
    <t>HAI</t>
  </si>
  <si>
    <t>Iraq</t>
  </si>
  <si>
    <t>IRQ</t>
  </si>
  <si>
    <t>Jordan</t>
  </si>
  <si>
    <t>JOR</t>
  </si>
  <si>
    <t>New Zealand</t>
  </si>
  <si>
    <t>NZL</t>
  </si>
  <si>
    <t>Panama</t>
  </si>
  <si>
    <t>PAN</t>
  </si>
  <si>
    <t>Qatar</t>
  </si>
  <si>
    <t>QAT</t>
  </si>
  <si>
    <t>Saudi Arabia</t>
  </si>
  <si>
    <t>KSA</t>
  </si>
  <si>
    <t>Tunisia</t>
  </si>
  <si>
    <t>TUN</t>
  </si>
  <si>
    <t>Türkiye</t>
  </si>
  <si>
    <t>TUR</t>
  </si>
  <si>
    <t>Uzbekistan</t>
  </si>
  <si>
    <t>UZB</t>
  </si>
  <si>
    <t>MatchID</t>
  </si>
  <si>
    <t>MatchDate</t>
  </si>
  <si>
    <t>StadiumName</t>
  </si>
  <si>
    <t>Team1ID</t>
  </si>
  <si>
    <t>Team1Name</t>
  </si>
  <si>
    <t>Team2ID</t>
  </si>
  <si>
    <t>Team2Name</t>
  </si>
  <si>
    <t>Team1Goals</t>
  </si>
  <si>
    <t>Team2Goals</t>
  </si>
  <si>
    <t>WinnerTeamID</t>
  </si>
  <si>
    <t>WinnerName</t>
  </si>
  <si>
    <t>Result</t>
  </si>
  <si>
    <t>TotalGoals</t>
  </si>
  <si>
    <t>GoalDifference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</si>
  <si>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</si>
  <si>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</si>
  <si>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</si>
  <si>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</si>
  <si>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</si>
  <si>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</si>
  <si>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</si>
  <si>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</si>
  <si>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</si>
  <si>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</si>
  <si>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</si>
  <si>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</si>
  <si>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</si>
  <si>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</si>
  <si>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</si>
  <si>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</si>
  <si>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</si>
  <si>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</si>
  <si>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</si>
  <si>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</si>
  <si>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</si>
  <si>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</si>
  <si>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</si>
  <si>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</si>
  <si>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</si>
  <si>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</si>
  <si>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</si>
  <si>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2026-07-09</t>
  </si>
  <si>
    <t>2026-07-10</t>
  </si>
  <si>
    <t>2026-07-11</t>
  </si>
  <si>
    <t>2026-07-14</t>
  </si>
  <si>
    <t>2026-07-15</t>
  </si>
  <si>
    <t>2026-07-18</t>
  </si>
  <si>
    <t>2026-07-19</t>
  </si>
  <si>
    <t>OpponentTeamID</t>
  </si>
  <si>
    <t>OpponentName</t>
  </si>
  <si>
    <t>TeamGoals</t>
  </si>
  <si>
    <t>OpponentGoals</t>
  </si>
  <si>
    <t>TeamResult</t>
  </si>
  <si>
    <t>Shots</t>
  </si>
  <si>
    <t>ShotsOnTarget</t>
  </si>
  <si>
    <t>Possession</t>
  </si>
  <si>
    <t>Corners</t>
  </si>
  <si>
    <t>Fouls</t>
  </si>
  <si>
    <t>YellowCards</t>
  </si>
  <si>
    <t>RedCards</t>
  </si>
  <si>
    <t>Offsides</t>
  </si>
  <si>
    <t>Points</t>
  </si>
  <si>
    <t>CleanSheet</t>
  </si>
  <si>
    <t>Win</t>
  </si>
  <si>
    <t>Draw</t>
  </si>
  <si>
    <t>Loss</t>
  </si>
  <si>
    <t>GoalID</t>
  </si>
  <si>
    <t>PlayerName</t>
  </si>
  <si>
    <t>Minute</t>
  </si>
  <si>
    <t>GoalType</t>
  </si>
  <si>
    <t>9</t>
  </si>
  <si>
    <t>67</t>
  </si>
  <si>
    <t>80</t>
  </si>
  <si>
    <t>59</t>
  </si>
  <si>
    <t>6</t>
  </si>
  <si>
    <t>83</t>
  </si>
  <si>
    <t>Penalty</t>
  </si>
  <si>
    <t>50</t>
  </si>
  <si>
    <t>55</t>
  </si>
  <si>
    <t>61</t>
  </si>
  <si>
    <t>90+4</t>
  </si>
  <si>
    <t>63</t>
  </si>
  <si>
    <t>78</t>
  </si>
  <si>
    <t>21</t>
  </si>
  <si>
    <t>Own Goal</t>
  </si>
  <si>
    <t>17</t>
  </si>
  <si>
    <t>74</t>
  </si>
  <si>
    <t>84</t>
  </si>
  <si>
    <t>90</t>
  </si>
  <si>
    <t>90+7</t>
  </si>
  <si>
    <t>90+3</t>
  </si>
  <si>
    <t>16</t>
  </si>
  <si>
    <t>29</t>
  </si>
  <si>
    <t>45+3</t>
  </si>
  <si>
    <t>64</t>
  </si>
  <si>
    <t>75</t>
  </si>
  <si>
    <t>90+2</t>
  </si>
  <si>
    <t>46</t>
  </si>
  <si>
    <t>57</t>
  </si>
  <si>
    <t>76</t>
  </si>
  <si>
    <t>34</t>
  </si>
  <si>
    <t>42</t>
  </si>
  <si>
    <t>32</t>
  </si>
  <si>
    <t>28</t>
  </si>
  <si>
    <t>2</t>
  </si>
  <si>
    <t>23</t>
  </si>
  <si>
    <t>36</t>
  </si>
  <si>
    <t>7</t>
  </si>
  <si>
    <t>60</t>
  </si>
  <si>
    <t>39</t>
  </si>
  <si>
    <t>45+1</t>
  </si>
  <si>
    <t>89</t>
  </si>
  <si>
    <t>10</t>
  </si>
  <si>
    <t>43</t>
  </si>
  <si>
    <t>31</t>
  </si>
  <si>
    <t>45+5</t>
  </si>
  <si>
    <t>90+8</t>
  </si>
  <si>
    <t>73</t>
  </si>
  <si>
    <t>27</t>
  </si>
  <si>
    <t>11</t>
  </si>
  <si>
    <t>3</t>
  </si>
  <si>
    <t>49</t>
  </si>
  <si>
    <t>38</t>
  </si>
  <si>
    <t>47</t>
  </si>
  <si>
    <t>68</t>
  </si>
  <si>
    <t>88</t>
  </si>
  <si>
    <t>30</t>
  </si>
  <si>
    <t>77</t>
  </si>
  <si>
    <t>51</t>
  </si>
  <si>
    <t>90+6</t>
  </si>
  <si>
    <t>5</t>
  </si>
  <si>
    <t>54</t>
  </si>
  <si>
    <t>4</t>
  </si>
  <si>
    <t>69</t>
  </si>
  <si>
    <t>56</t>
  </si>
  <si>
    <t>62</t>
  </si>
  <si>
    <t>66</t>
  </si>
  <si>
    <t>19</t>
  </si>
  <si>
    <t>15</t>
  </si>
  <si>
    <t>58</t>
  </si>
  <si>
    <t>82</t>
  </si>
  <si>
    <t>14</t>
  </si>
  <si>
    <t>86</t>
  </si>
  <si>
    <t>41</t>
  </si>
  <si>
    <t>24</t>
  </si>
  <si>
    <t>44</t>
  </si>
  <si>
    <t>45+6</t>
  </si>
  <si>
    <t>90+5</t>
  </si>
  <si>
    <t>48</t>
  </si>
  <si>
    <t>53</t>
  </si>
  <si>
    <t>20</t>
  </si>
  <si>
    <t>71</t>
  </si>
  <si>
    <t>90+12</t>
  </si>
  <si>
    <t>45</t>
  </si>
  <si>
    <t>40</t>
  </si>
  <si>
    <t>65</t>
  </si>
  <si>
    <t>90+9</t>
  </si>
  <si>
    <t>87</t>
  </si>
  <si>
    <t>90+1</t>
  </si>
  <si>
    <t>12</t>
  </si>
  <si>
    <t>85</t>
  </si>
  <si>
    <t>72</t>
  </si>
  <si>
    <t>120+5</t>
  </si>
  <si>
    <t>25</t>
  </si>
  <si>
    <t>92</t>
  </si>
  <si>
    <t>111</t>
  </si>
  <si>
    <t>103</t>
  </si>
  <si>
    <t>13</t>
  </si>
  <si>
    <t>70</t>
  </si>
  <si>
    <t>90+10</t>
  </si>
  <si>
    <t>79</t>
  </si>
  <si>
    <t>33</t>
  </si>
  <si>
    <t>45+2</t>
  </si>
  <si>
    <t>93</t>
  </si>
  <si>
    <t>112</t>
  </si>
  <si>
    <t>120+1</t>
  </si>
  <si>
    <t>22</t>
  </si>
  <si>
    <t>18</t>
  </si>
  <si>
    <t>37</t>
  </si>
  <si>
    <t>106</t>
  </si>
  <si>
    <t>JerseyNumber</t>
  </si>
  <si>
    <t>Melvin Mastil</t>
  </si>
  <si>
    <t>GK</t>
  </si>
  <si>
    <t>Aissa Mandi</t>
  </si>
  <si>
    <t>DF</t>
  </si>
  <si>
    <t>Achref Abada</t>
  </si>
  <si>
    <t>Mohamed Amine Tougai</t>
  </si>
  <si>
    <t>Zineddine Belaid</t>
  </si>
  <si>
    <t>Ramiz Zerrouki</t>
  </si>
  <si>
    <t>MF</t>
  </si>
  <si>
    <t>Riyad Mahrez</t>
  </si>
  <si>
    <t>FW</t>
  </si>
  <si>
    <t>Houssem Aouar</t>
  </si>
  <si>
    <t>Amine Gouiri</t>
  </si>
  <si>
    <t>Fares Chaibi</t>
  </si>
  <si>
    <t>Anis Hadj Moussa</t>
  </si>
  <si>
    <t>Nadhir Benbouali</t>
  </si>
  <si>
    <t>Jaouen Hadjam</t>
  </si>
  <si>
    <t>Hicham Boudaoui</t>
  </si>
  <si>
    <t>Rayan Ait-Nouri</t>
  </si>
  <si>
    <t>Oussama Benbot</t>
  </si>
  <si>
    <t>Rafik Belghali</t>
  </si>
  <si>
    <t>Mohamed Amoura</t>
  </si>
  <si>
    <t>Nabil Bentaleb</t>
  </si>
  <si>
    <t>Adil Boulbina</t>
  </si>
  <si>
    <t>Ramy Bensebaini</t>
  </si>
  <si>
    <t>Ibrahim Maza</t>
  </si>
  <si>
    <t>Luca Zidane</t>
  </si>
  <si>
    <t>Yassine Titraoui</t>
  </si>
  <si>
    <t>Fares Ghedjemis</t>
  </si>
  <si>
    <t>Samir Chergui</t>
  </si>
  <si>
    <t>Juan Musso</t>
  </si>
  <si>
    <t>Marcos Senesi</t>
  </si>
  <si>
    <t>Nicolas Tagliafico</t>
  </si>
  <si>
    <t>Gonzalo Montiel</t>
  </si>
  <si>
    <t>Leandro Paredes</t>
  </si>
  <si>
    <t>Lisandro Martinez</t>
  </si>
  <si>
    <t>Rodrigo De Paul</t>
  </si>
  <si>
    <t>Valentin Barco</t>
  </si>
  <si>
    <t>Julian Alvarez</t>
  </si>
  <si>
    <t>Lionel Messi</t>
  </si>
  <si>
    <t>Giovani Lo Celso</t>
  </si>
  <si>
    <t>Geronimo Rulli</t>
  </si>
  <si>
    <t>Cristian Romero</t>
  </si>
  <si>
    <t>Exequiel Palacios</t>
  </si>
  <si>
    <t>Nico Gonzalez</t>
  </si>
  <si>
    <t>Thiago Almada</t>
  </si>
  <si>
    <t>Giuliano Simeone</t>
  </si>
  <si>
    <t>Nico Paz</t>
  </si>
  <si>
    <t>Nicolas Otamendi</t>
  </si>
  <si>
    <t>Alexis Mac Allister</t>
  </si>
  <si>
    <t>Jose Manuel Lopez</t>
  </si>
  <si>
    <t>Lautaro Martinez</t>
  </si>
  <si>
    <t>Emiliano Martinez</t>
  </si>
  <si>
    <t>Enzo Fernandez</t>
  </si>
  <si>
    <t>Facundo Medina</t>
  </si>
  <si>
    <t>Nahuel Molina</t>
  </si>
  <si>
    <t>Mathew Ryan</t>
  </si>
  <si>
    <t>Milos Degenek</t>
  </si>
  <si>
    <t>Alessandro Circati</t>
  </si>
  <si>
    <t>Jacob Italiano</t>
  </si>
  <si>
    <t>Jordan Bos</t>
  </si>
  <si>
    <t>Jason Geria</t>
  </si>
  <si>
    <t>Mathew Leckie</t>
  </si>
  <si>
    <t>Connor Metcalfe</t>
  </si>
  <si>
    <t>Mohamed Toure</t>
  </si>
  <si>
    <t>Ajdin Hrustic</t>
  </si>
  <si>
    <t>Awer Mabil</t>
  </si>
  <si>
    <t>Paul Izzo</t>
  </si>
  <si>
    <t>Aiden Oneill</t>
  </si>
  <si>
    <t>Cameron Devlin</t>
  </si>
  <si>
    <t>Kai Trewin</t>
  </si>
  <si>
    <t>Aziz Behich</t>
  </si>
  <si>
    <t>Nestory Irankunda</t>
  </si>
  <si>
    <t>Patrick Beach</t>
  </si>
  <si>
    <t>Harry Souttar</t>
  </si>
  <si>
    <t>Cristian Volpato</t>
  </si>
  <si>
    <t>Cameron Burgess</t>
  </si>
  <si>
    <t>Jackson Irvine</t>
  </si>
  <si>
    <t>Nishan Velupillay</t>
  </si>
  <si>
    <t>Paul Okon-Engstler</t>
  </si>
  <si>
    <t>Lucas Herrington</t>
  </si>
  <si>
    <t>Tete Yengi</t>
  </si>
  <si>
    <t>Alexander Schlager</t>
  </si>
  <si>
    <t>David Affengruber</t>
  </si>
  <si>
    <t>Kevin Danso</t>
  </si>
  <si>
    <t>Xaver Schlager</t>
  </si>
  <si>
    <t>Stefan Posch</t>
  </si>
  <si>
    <t>Nicolas Seiwald</t>
  </si>
  <si>
    <t>Marko Arnautovic</t>
  </si>
  <si>
    <t>David Alaba</t>
  </si>
  <si>
    <t>Marcel Sabitzer</t>
  </si>
  <si>
    <t>Florian Grillitsch</t>
  </si>
  <si>
    <t>Michael Gregoritsch</t>
  </si>
  <si>
    <t>Florian Wiegele</t>
  </si>
  <si>
    <t>Patrick Pentz</t>
  </si>
  <si>
    <t>Sasa Kalajdzic</t>
  </si>
  <si>
    <t>Philipp Lienhart</t>
  </si>
  <si>
    <t>Phillip Mwene</t>
  </si>
  <si>
    <t>Carney Chukwuemeka</t>
  </si>
  <si>
    <t>Romano Schmid</t>
  </si>
  <si>
    <t>Dejan Ljubicic</t>
  </si>
  <si>
    <t>Konrad Laimer</t>
  </si>
  <si>
    <t>Patrick Wimmer</t>
  </si>
  <si>
    <t>Alexander Prass</t>
  </si>
  <si>
    <t>Marco Friedl</t>
  </si>
  <si>
    <t>Paul Wanner</t>
  </si>
  <si>
    <t>Michael Svoboda</t>
  </si>
  <si>
    <t>Alessandro Schoepf</t>
  </si>
  <si>
    <t>Thibaut Courtois</t>
  </si>
  <si>
    <t>Zeno Debast</t>
  </si>
  <si>
    <t>Arthur Theate</t>
  </si>
  <si>
    <t>Brandon Mechele</t>
  </si>
  <si>
    <t>Maxim De Cuyper</t>
  </si>
  <si>
    <t>Axel Witsel</t>
  </si>
  <si>
    <t>Kevin De Bruyne</t>
  </si>
  <si>
    <t>Youri Tielemans</t>
  </si>
  <si>
    <t>Romelu Lukaku</t>
  </si>
  <si>
    <t>Leandro Trossard</t>
  </si>
  <si>
    <t>Jeremy Doku</t>
  </si>
  <si>
    <t>Senne Lammens</t>
  </si>
  <si>
    <t>Mike Penders</t>
  </si>
  <si>
    <t>Dodi Lukebakio</t>
  </si>
  <si>
    <t>Thomas Meunier</t>
  </si>
  <si>
    <t>Koni De Winter</t>
  </si>
  <si>
    <t>Charles De Ketelaere</t>
  </si>
  <si>
    <t>Joaquin Seys</t>
  </si>
  <si>
    <t>Diego Moreira</t>
  </si>
  <si>
    <t>Hans Vanaken</t>
  </si>
  <si>
    <t>Timothy Castagne</t>
  </si>
  <si>
    <t>Alexis Saelemaekers</t>
  </si>
  <si>
    <t>Nicolas Raskin</t>
  </si>
  <si>
    <t>Amadou Onana</t>
  </si>
  <si>
    <t>Nathan Ngoy</t>
  </si>
  <si>
    <t>Matias Fernandez-Pardo</t>
  </si>
  <si>
    <t>Nikola Vasilj</t>
  </si>
  <si>
    <t>Nihad Mujakic</t>
  </si>
  <si>
    <t>Dennis Hadzikadunic</t>
  </si>
  <si>
    <t>Tarik Muharemovic</t>
  </si>
  <si>
    <t>Sead Kolasinac</t>
  </si>
  <si>
    <t>Benjamin Tahirovic</t>
  </si>
  <si>
    <t>Amar Dedic</t>
  </si>
  <si>
    <t>Armin Gigovic</t>
  </si>
  <si>
    <t>Samed Bazdar</t>
  </si>
  <si>
    <t>Ermedin Demirovic</t>
  </si>
  <si>
    <t>Edin Dzeko</t>
  </si>
  <si>
    <t>Mladen Jurkas</t>
  </si>
  <si>
    <t>Ivan Basic</t>
  </si>
  <si>
    <t>Ivan Sunjic</t>
  </si>
  <si>
    <t>Amar Memic</t>
  </si>
  <si>
    <t>Amir Hadziahmetovic</t>
  </si>
  <si>
    <t>Dzenis Burnic</t>
  </si>
  <si>
    <t>Nikola Katic</t>
  </si>
  <si>
    <t>Kerim Alajbegovic</t>
  </si>
  <si>
    <t>Esmir Bajraktarevic</t>
  </si>
  <si>
    <t>Stjepan Radeljic</t>
  </si>
  <si>
    <t>Martin Zlomislic</t>
  </si>
  <si>
    <t>Haris Tabakovic</t>
  </si>
  <si>
    <t>Arjan Malic</t>
  </si>
  <si>
    <t>Jovo Lukic</t>
  </si>
  <si>
    <t>Ermin Mahmic</t>
  </si>
  <si>
    <t>Alisson</t>
  </si>
  <si>
    <t>Ederson Silva</t>
  </si>
  <si>
    <t>Gabriel Magalhaes</t>
  </si>
  <si>
    <t>Marquinhos</t>
  </si>
  <si>
    <t>Casemiro</t>
  </si>
  <si>
    <t>Alex Sandro</t>
  </si>
  <si>
    <t>Vinicius Junior</t>
  </si>
  <si>
    <t>Bruno Guimaraes</t>
  </si>
  <si>
    <t>Matheus Cunha</t>
  </si>
  <si>
    <t>Neymar Jr</t>
  </si>
  <si>
    <t>Raphinha</t>
  </si>
  <si>
    <t>Weverton</t>
  </si>
  <si>
    <t>Danilo</t>
  </si>
  <si>
    <t>Bremer</t>
  </si>
  <si>
    <t>Leo Pereira</t>
  </si>
  <si>
    <t>Douglas Santos</t>
  </si>
  <si>
    <t>Fabinho</t>
  </si>
  <si>
    <t>Danilo Santos</t>
  </si>
  <si>
    <t>Endrick</t>
  </si>
  <si>
    <t>Lucas Paqueta</t>
  </si>
  <si>
    <t>Luiz Henrique</t>
  </si>
  <si>
    <t>Gabriel Martinelli</t>
  </si>
  <si>
    <t>Ederson</t>
  </si>
  <si>
    <t>Roger Ibanez</t>
  </si>
  <si>
    <t>Igor Thiago</t>
  </si>
  <si>
    <t>Rayan</t>
  </si>
  <si>
    <t>Vozinha</t>
  </si>
  <si>
    <t>Stopira</t>
  </si>
  <si>
    <t>Diney Borges</t>
  </si>
  <si>
    <t>Pico Lopes</t>
  </si>
  <si>
    <t>Logan Costa</t>
  </si>
  <si>
    <t>Kevin Pina</t>
  </si>
  <si>
    <t>Jovane Cabral</t>
  </si>
  <si>
    <t>Joao Paulo</t>
  </si>
  <si>
    <t>Gilson Benchimol</t>
  </si>
  <si>
    <t>Jamiro Monteiro</t>
  </si>
  <si>
    <t>Garry Rodrigues</t>
  </si>
  <si>
    <t>Marcio Rosa</t>
  </si>
  <si>
    <t>Sidny Lopes Cabral</t>
  </si>
  <si>
    <t>Deroy Duarte</t>
  </si>
  <si>
    <t>Laros Duarte</t>
  </si>
  <si>
    <t>Yannick Semedo</t>
  </si>
  <si>
    <t>Willy Semedo</t>
  </si>
  <si>
    <t>Telmo Arcanjo</t>
  </si>
  <si>
    <t>Dailon Livramento</t>
  </si>
  <si>
    <t>Ryan Mendes</t>
  </si>
  <si>
    <t>Nuno Da Costa</t>
  </si>
  <si>
    <t>Steven Moreira</t>
  </si>
  <si>
    <t>Cj Dos Santos</t>
  </si>
  <si>
    <t>Wagner Pina</t>
  </si>
  <si>
    <t>Kelvin Pires</t>
  </si>
  <si>
    <t>Helio Varela</t>
  </si>
  <si>
    <t>Dayne St. Clair</t>
  </si>
  <si>
    <t>Alistair Johnston</t>
  </si>
  <si>
    <t>Alfie Jones</t>
  </si>
  <si>
    <t>Luc De Fougerolles</t>
  </si>
  <si>
    <t>Joel Waterman</t>
  </si>
  <si>
    <t>Mathieu Choiniere</t>
  </si>
  <si>
    <t>Stephen Eustaquio</t>
  </si>
  <si>
    <t>Ismael Kone</t>
  </si>
  <si>
    <t>Cyle Larin</t>
  </si>
  <si>
    <t>Jonathan David</t>
  </si>
  <si>
    <t>Liam Millar</t>
  </si>
  <si>
    <t>Tani Oluwaseyi</t>
  </si>
  <si>
    <t>Derek Cornelius</t>
  </si>
  <si>
    <t>Jacob Shaffelburg</t>
  </si>
  <si>
    <t>Moise Bombito</t>
  </si>
  <si>
    <t>Maxime Crepeau</t>
  </si>
  <si>
    <t>Tajon Buchanan</t>
  </si>
  <si>
    <t>Owen Goodman</t>
  </si>
  <si>
    <t>Alphonso Davies</t>
  </si>
  <si>
    <t>Ali Ahmed</t>
  </si>
  <si>
    <t>Jonathan Osorio</t>
  </si>
  <si>
    <t>Richie Laryea</t>
  </si>
  <si>
    <t>Niko Sigur</t>
  </si>
  <si>
    <t>Promise David</t>
  </si>
  <si>
    <t>Nathan Saliba</t>
  </si>
  <si>
    <t>Jayden Nelson</t>
  </si>
  <si>
    <t>David Ospina</t>
  </si>
  <si>
    <t>Daniel Munoz</t>
  </si>
  <si>
    <t>Jhon Lucumi</t>
  </si>
  <si>
    <t>Santiago Arias</t>
  </si>
  <si>
    <t>Kevin Castano</t>
  </si>
  <si>
    <t>Richard Rios</t>
  </si>
  <si>
    <t>Luis Diaz</t>
  </si>
  <si>
    <t>Jorge Carrascal</t>
  </si>
  <si>
    <t>Jhon Cordoba</t>
  </si>
  <si>
    <t>James Rodriguez</t>
  </si>
  <si>
    <t>Jhon Arias</t>
  </si>
  <si>
    <t>Camilo Vargas</t>
  </si>
  <si>
    <t>Yerry Mina</t>
  </si>
  <si>
    <t>Gustavo Puerta</t>
  </si>
  <si>
    <t>Juan Portilla</t>
  </si>
  <si>
    <t>Jefferson Lerma</t>
  </si>
  <si>
    <t>Johan Mojica</t>
  </si>
  <si>
    <t>Willer Ditta</t>
  </si>
  <si>
    <t>Cucho Hernandez</t>
  </si>
  <si>
    <t>Juan Quintero</t>
  </si>
  <si>
    <t>Jaminton Campaz</t>
  </si>
  <si>
    <t>Deiver Machado</t>
  </si>
  <si>
    <t>Davinson Sanchez</t>
  </si>
  <si>
    <t>Alvaro Montero</t>
  </si>
  <si>
    <t>Luis Suarez</t>
  </si>
  <si>
    <t>Andres Gomez</t>
  </si>
  <si>
    <t>Lionel Mpasi</t>
  </si>
  <si>
    <t>Aaron Wan-Bissaka</t>
  </si>
  <si>
    <t>Steve Kapuadi</t>
  </si>
  <si>
    <t>Axel Tuanzebe</t>
  </si>
  <si>
    <t>Dylan Batubinsika</t>
  </si>
  <si>
    <t>Ngalayel Mukau</t>
  </si>
  <si>
    <t>Nathanael Mbuku</t>
  </si>
  <si>
    <t>Samuel Moutoussamy</t>
  </si>
  <si>
    <t>Brian Cipenga</t>
  </si>
  <si>
    <t>Theo Bongonda</t>
  </si>
  <si>
    <t>Gael Kakuta</t>
  </si>
  <si>
    <t>Joris Kayembe</t>
  </si>
  <si>
    <t>Meschack Elia</t>
  </si>
  <si>
    <t>Noah Sadiki</t>
  </si>
  <si>
    <t>Aaron Tshibola</t>
  </si>
  <si>
    <t>Timothy Fayulu</t>
  </si>
  <si>
    <t>Cedric Bakambu</t>
  </si>
  <si>
    <t>Charles Pickel</t>
  </si>
  <si>
    <t>Fiston Mayele</t>
  </si>
  <si>
    <t>Yoane Wissa</t>
  </si>
  <si>
    <t>Matthieu Epolo</t>
  </si>
  <si>
    <t>Chancel Mbemba</t>
  </si>
  <si>
    <t>Simon Banza</t>
  </si>
  <si>
    <t>Gedeon Kalulu</t>
  </si>
  <si>
    <t>Edo Kayembe</t>
  </si>
  <si>
    <t>Arthur Masuaku</t>
  </si>
  <si>
    <t>Yahia Fofana</t>
  </si>
  <si>
    <t>Ousmane Diomande</t>
  </si>
  <si>
    <t>Ghislain Konan</t>
  </si>
  <si>
    <t>Jean Michael Seri</t>
  </si>
  <si>
    <t>Wilfried Singo</t>
  </si>
  <si>
    <t>Seko Fofana</t>
  </si>
  <si>
    <t>Odilon Kossounou</t>
  </si>
  <si>
    <t>Franck Kessie</t>
  </si>
  <si>
    <t>Ange-Yoan Bonny</t>
  </si>
  <si>
    <t>Simon Adingra</t>
  </si>
  <si>
    <t>Yan Diomande</t>
  </si>
  <si>
    <t>Elye Wahi</t>
  </si>
  <si>
    <t>Christopher Operi</t>
  </si>
  <si>
    <t>Oumar Diakite</t>
  </si>
  <si>
    <t>Amad Diallo</t>
  </si>
  <si>
    <t>Mohamed Kone</t>
  </si>
  <si>
    <t>Guela Doue</t>
  </si>
  <si>
    <t>Ibrahim Sangare</t>
  </si>
  <si>
    <t>Nicolas Pepe</t>
  </si>
  <si>
    <t>Emmanuel Agbadou</t>
  </si>
  <si>
    <t>Evan Ndicka</t>
  </si>
  <si>
    <t>Evann Guessand</t>
  </si>
  <si>
    <t>Alban Lafont</t>
  </si>
  <si>
    <t>Bazoumana Toure</t>
  </si>
  <si>
    <t>Parfait Guiagon</t>
  </si>
  <si>
    <t>Christ Inao Oulai</t>
  </si>
  <si>
    <t>Dominik Livakovic</t>
  </si>
  <si>
    <t>Josip Stanisic</t>
  </si>
  <si>
    <t>Marin Pongracic</t>
  </si>
  <si>
    <t>Josko Gvardiol</t>
  </si>
  <si>
    <t>Duje Caleta-Car</t>
  </si>
  <si>
    <t>Josip Sutalo</t>
  </si>
  <si>
    <t>Nikola Moro</t>
  </si>
  <si>
    <t>Mateo Kovacic</t>
  </si>
  <si>
    <t>Andrej Kramaric</t>
  </si>
  <si>
    <t>Luka Modric</t>
  </si>
  <si>
    <t>Ante Budimir</t>
  </si>
  <si>
    <t>Ivor Pandur</t>
  </si>
  <si>
    <t>Nikola Vlasic</t>
  </si>
  <si>
    <t>Ivan Perisic</t>
  </si>
  <si>
    <t>Mario Pasalic</t>
  </si>
  <si>
    <t>Martin Baturina</t>
  </si>
  <si>
    <t>Petar Sucic</t>
  </si>
  <si>
    <t>Kristijan Jakic</t>
  </si>
  <si>
    <t>Toni Fruk</t>
  </si>
  <si>
    <t>Igor Matanovic</t>
  </si>
  <si>
    <t>Luka Sucic</t>
  </si>
  <si>
    <t>Luka Vuskovic</t>
  </si>
  <si>
    <t>Dominik Kotarski</t>
  </si>
  <si>
    <t>Marco Pasalic</t>
  </si>
  <si>
    <t>Martin Erlic</t>
  </si>
  <si>
    <t>Petar Musa</t>
  </si>
  <si>
    <t>Eloy Room</t>
  </si>
  <si>
    <t>Shurandy Sambo</t>
  </si>
  <si>
    <t>Jurien Gaari</t>
  </si>
  <si>
    <t>Roshon Van Eijma</t>
  </si>
  <si>
    <t>Sherel Floranus</t>
  </si>
  <si>
    <t>Godfried Roemeratoe</t>
  </si>
  <si>
    <t>Juninho Bacuna</t>
  </si>
  <si>
    <t>Livano Comenencia</t>
  </si>
  <si>
    <t>Juergen Locadia</t>
  </si>
  <si>
    <t>Leandro Bacuna</t>
  </si>
  <si>
    <t>Jeremy Antonisse</t>
  </si>
  <si>
    <t>Sontje Hansen</t>
  </si>
  <si>
    <t>Tyrese Noslin</t>
  </si>
  <si>
    <t>Kenji Gorre</t>
  </si>
  <si>
    <t>Arjany Martha</t>
  </si>
  <si>
    <t>Jearl Margaritha</t>
  </si>
  <si>
    <t>Brandley Kuwas</t>
  </si>
  <si>
    <t>Armando Obispo</t>
  </si>
  <si>
    <t>Gervane Kastaneer</t>
  </si>
  <si>
    <t>Joshua Brenet</t>
  </si>
  <si>
    <t>Tahith Chong</t>
  </si>
  <si>
    <t>Kevin Felida</t>
  </si>
  <si>
    <t>Riechedly Bazoer</t>
  </si>
  <si>
    <t>Deveron Fonville</t>
  </si>
  <si>
    <t>Tyrick Bodak</t>
  </si>
  <si>
    <t>Trevor Doornbusch</t>
  </si>
  <si>
    <t>Matej Kovar</t>
  </si>
  <si>
    <t>David Zima</t>
  </si>
  <si>
    <t>Tomas Holes</t>
  </si>
  <si>
    <t>Robin Hranac</t>
  </si>
  <si>
    <t>Vladimir Coufal</t>
  </si>
  <si>
    <t>Stepan Chaloupek</t>
  </si>
  <si>
    <t>Ladislav Krejci</t>
  </si>
  <si>
    <t>Vladimir Darida</t>
  </si>
  <si>
    <t>Adam Hlozek</t>
  </si>
  <si>
    <t>Patrik Schick</t>
  </si>
  <si>
    <t>Jan Kuchta</t>
  </si>
  <si>
    <t>Lukas Cerv</t>
  </si>
  <si>
    <t>Mojmir Chytil</t>
  </si>
  <si>
    <t>David Jurasek</t>
  </si>
  <si>
    <t>Pavel Sulc</t>
  </si>
  <si>
    <t>Jindrich Stanek</t>
  </si>
  <si>
    <t>Lukas Provod</t>
  </si>
  <si>
    <t>Michal Sadilek</t>
  </si>
  <si>
    <t>Tomas Chory</t>
  </si>
  <si>
    <t>Jaroslav Zeleny</t>
  </si>
  <si>
    <t>David Doudera</t>
  </si>
  <si>
    <t>Tomas Soucek</t>
  </si>
  <si>
    <t>Lukas Hornicek</t>
  </si>
  <si>
    <t>Alexandr Sojka</t>
  </si>
  <si>
    <t>Hugo Sochurek</t>
  </si>
  <si>
    <t>Denis Visinsky</t>
  </si>
  <si>
    <t>Hernan Galindez</t>
  </si>
  <si>
    <t>Felix Torres</t>
  </si>
  <si>
    <t>Piero Hincapie</t>
  </si>
  <si>
    <t>Joel Ordonez</t>
  </si>
  <si>
    <t>Jordy Alcivar</t>
  </si>
  <si>
    <t>Willian Pacho</t>
  </si>
  <si>
    <t>Pervis Estupinan</t>
  </si>
  <si>
    <t>Anthony Valencia</t>
  </si>
  <si>
    <t>John Yeboah</t>
  </si>
  <si>
    <t>Kendry Paez</t>
  </si>
  <si>
    <t>Kevin Rodriguez</t>
  </si>
  <si>
    <t>Moises Ramirez</t>
  </si>
  <si>
    <t>Enner Valencia</t>
  </si>
  <si>
    <t>Alan Minda</t>
  </si>
  <si>
    <t>Pedro Vite</t>
  </si>
  <si>
    <t>Jordy Caicedo</t>
  </si>
  <si>
    <t>Angelo Preciado</t>
  </si>
  <si>
    <t>Denil Castillo</t>
  </si>
  <si>
    <t>Gonzalo Plata</t>
  </si>
  <si>
    <t>Nilson Angulo</t>
  </si>
  <si>
    <t>Alan Franco</t>
  </si>
  <si>
    <t>Gonzalo Valle</t>
  </si>
  <si>
    <t>Moises Caicedo</t>
  </si>
  <si>
    <t>Jeremy Arevalo</t>
  </si>
  <si>
    <t>Jackson Porozo</t>
  </si>
  <si>
    <t>Yaimar Medina</t>
  </si>
  <si>
    <t>Mohamed Elshenawy</t>
  </si>
  <si>
    <t>Yasser Ibrahim</t>
  </si>
  <si>
    <t>Mohamed Hany</t>
  </si>
  <si>
    <t>Hossam Abdelmaguid</t>
  </si>
  <si>
    <t>Ramy Rabia</t>
  </si>
  <si>
    <t>Mohamed Abdelmoneim</t>
  </si>
  <si>
    <t>Trezeguet</t>
  </si>
  <si>
    <t>Emam Ashour</t>
  </si>
  <si>
    <t>Hamza Abdelkarim</t>
  </si>
  <si>
    <t>Mohamed Salah</t>
  </si>
  <si>
    <t>Mostafa Zico</t>
  </si>
  <si>
    <t>Haissem Hassan</t>
  </si>
  <si>
    <t>Ahmed Fatouh</t>
  </si>
  <si>
    <t>Hamdy Fathy</t>
  </si>
  <si>
    <t>Karim Hafez</t>
  </si>
  <si>
    <t>Mahdy Soliman</t>
  </si>
  <si>
    <t>Mohanad Lashin</t>
  </si>
  <si>
    <t>Nabil Donga</t>
  </si>
  <si>
    <t>Marawan Attia</t>
  </si>
  <si>
    <t>Ibrahim Adel</t>
  </si>
  <si>
    <t>Mahmoud Saber</t>
  </si>
  <si>
    <t>Omar Marmoush</t>
  </si>
  <si>
    <t>Mostafa Shoubir</t>
  </si>
  <si>
    <t>Tarek Alaa</t>
  </si>
  <si>
    <t>Zizo</t>
  </si>
  <si>
    <t>Mohamed Alaa</t>
  </si>
  <si>
    <t>Jordan Pickford</t>
  </si>
  <si>
    <t>Ezri Konsa</t>
  </si>
  <si>
    <t>Nico Oreilly</t>
  </si>
  <si>
    <t>Declan Rice</t>
  </si>
  <si>
    <t>John Stones</t>
  </si>
  <si>
    <t>Marc Guehi</t>
  </si>
  <si>
    <t>Bukayo Saka</t>
  </si>
  <si>
    <t>Elliot Anderson</t>
  </si>
  <si>
    <t>Harry Kane</t>
  </si>
  <si>
    <t>Jude Bellingham</t>
  </si>
  <si>
    <t>Marcus Rashford</t>
  </si>
  <si>
    <t>Trevoh Chalobah</t>
  </si>
  <si>
    <t>Dean Henderson</t>
  </si>
  <si>
    <t>Jordan Henderson</t>
  </si>
  <si>
    <t>Dan Burn</t>
  </si>
  <si>
    <t>Kobbie Mainoo</t>
  </si>
  <si>
    <t>Morgan Rogers</t>
  </si>
  <si>
    <t>Anthony Gordon</t>
  </si>
  <si>
    <t>Ollie Watkins</t>
  </si>
  <si>
    <t>Noni Madueke</t>
  </si>
  <si>
    <t>Eberechi Eze</t>
  </si>
  <si>
    <t>Ivan Toney</t>
  </si>
  <si>
    <t>James Trafford</t>
  </si>
  <si>
    <t>Reece James</t>
  </si>
  <si>
    <t>Djed Spence</t>
  </si>
  <si>
    <t>Jarell Quansah</t>
  </si>
  <si>
    <t>Brice Samba</t>
  </si>
  <si>
    <t>Malo Gusto</t>
  </si>
  <si>
    <t>Lucas Digne</t>
  </si>
  <si>
    <t>Dayot Upamecano</t>
  </si>
  <si>
    <t>Jules Kounde</t>
  </si>
  <si>
    <t>Manu Kone</t>
  </si>
  <si>
    <t>Ousmane Dembele</t>
  </si>
  <si>
    <t>Aurelien Tchouameni</t>
  </si>
  <si>
    <t>Marcus Thuram</t>
  </si>
  <si>
    <t>Kylian Mbappe</t>
  </si>
  <si>
    <t>Michael Olise</t>
  </si>
  <si>
    <t>Bradley Barcola</t>
  </si>
  <si>
    <t>Ngolo Kante</t>
  </si>
  <si>
    <t>Adrien Rabiot</t>
  </si>
  <si>
    <t>Ibrahima Konate</t>
  </si>
  <si>
    <t>Mike Maignan</t>
  </si>
  <si>
    <t>William Saliba</t>
  </si>
  <si>
    <t>Warren Zaire-Emery</t>
  </si>
  <si>
    <t>Theo Hernandez</t>
  </si>
  <si>
    <t>Desire Doue</t>
  </si>
  <si>
    <t>Lucas Hernandez</t>
  </si>
  <si>
    <t>Jean-Philippe Mateta</t>
  </si>
  <si>
    <t>Robin Risser</t>
  </si>
  <si>
    <t>Rayan Cherki</t>
  </si>
  <si>
    <t>Maghnes Akliouche</t>
  </si>
  <si>
    <t>Maxence Lacroix</t>
  </si>
  <si>
    <t>Manuel Neuer</t>
  </si>
  <si>
    <t>Antonio Ruediger</t>
  </si>
  <si>
    <t>Waldemar Anton</t>
  </si>
  <si>
    <t>Jonathan Tah</t>
  </si>
  <si>
    <t>Aleksandar Pavlovic</t>
  </si>
  <si>
    <t>Joshua Kimmich</t>
  </si>
  <si>
    <t>Kai Havertz</t>
  </si>
  <si>
    <t>Leon Goretzka</t>
  </si>
  <si>
    <t>Jamie Leweling</t>
  </si>
  <si>
    <t>Jamal Musiala</t>
  </si>
  <si>
    <t>Nick Woltemade</t>
  </si>
  <si>
    <t>Oliver Baumann</t>
  </si>
  <si>
    <t>Pascal Gross</t>
  </si>
  <si>
    <t>Maximilian Beier</t>
  </si>
  <si>
    <t>Nico Schlotterbeck</t>
  </si>
  <si>
    <t>Angelo Stiller</t>
  </si>
  <si>
    <t>Florian Wirtz</t>
  </si>
  <si>
    <t>Nathaniel Brown</t>
  </si>
  <si>
    <t>Leroy Sane</t>
  </si>
  <si>
    <t>Nadiem Amiri</t>
  </si>
  <si>
    <t>Alexander Nuebel</t>
  </si>
  <si>
    <t>David Raum</t>
  </si>
  <si>
    <t>Felix Nmecha</t>
  </si>
  <si>
    <t>Malick Thiaw</t>
  </si>
  <si>
    <t>Assan Ouedraogo</t>
  </si>
  <si>
    <t>Deniz Undav</t>
  </si>
  <si>
    <t>Lawrence Ati Zigi</t>
  </si>
  <si>
    <t>Alidu Seidu</t>
  </si>
  <si>
    <t>Caleb Yirenkyi</t>
  </si>
  <si>
    <t>Jonas Adjetey</t>
  </si>
  <si>
    <t>Thomas Partey</t>
  </si>
  <si>
    <t>Abdul Mumin</t>
  </si>
  <si>
    <t>Abdul Fatawu</t>
  </si>
  <si>
    <t>Kwasi Sibo</t>
  </si>
  <si>
    <t>Jordan Ayew</t>
  </si>
  <si>
    <t>Brandon Thomas-Asante</t>
  </si>
  <si>
    <t>Antoine Semenyo</t>
  </si>
  <si>
    <t>Joseph Anang</t>
  </si>
  <si>
    <t>Christopher Bonsu Baah</t>
  </si>
  <si>
    <t>Gideon Mensah</t>
  </si>
  <si>
    <t>Elisha Owusu</t>
  </si>
  <si>
    <t>Benjamin Asare</t>
  </si>
  <si>
    <t>Baba Rahman</t>
  </si>
  <si>
    <t>Jerome Opoku</t>
  </si>
  <si>
    <t>Inaki Williams</t>
  </si>
  <si>
    <t>Augustine Boakye</t>
  </si>
  <si>
    <t>Kojo Peprah Oppong</t>
  </si>
  <si>
    <t>Kamaldeen Sulemana</t>
  </si>
  <si>
    <t>Derrick Luckassen</t>
  </si>
  <si>
    <t>Ernest Nuamah</t>
  </si>
  <si>
    <t>Prince Adu</t>
  </si>
  <si>
    <t>Marvin Senaya</t>
  </si>
  <si>
    <t>Johny Placide</t>
  </si>
  <si>
    <t>Carlens Arcus</t>
  </si>
  <si>
    <t>Keeto Thermoncy</t>
  </si>
  <si>
    <t>Ricardo Ade</t>
  </si>
  <si>
    <t>Hannes Delcroix</t>
  </si>
  <si>
    <t>Carl Sainte</t>
  </si>
  <si>
    <t>Derrick Etienne</t>
  </si>
  <si>
    <t>Martin Experience</t>
  </si>
  <si>
    <t>Duckens Nazon</t>
  </si>
  <si>
    <t>Jean-Ricner Bellegarde</t>
  </si>
  <si>
    <t>Louicius Deedson</t>
  </si>
  <si>
    <t>Alexandre Pierre</t>
  </si>
  <si>
    <t>Markhus Lacroix</t>
  </si>
  <si>
    <t>Garven Metusala</t>
  </si>
  <si>
    <t>Ruben Providence</t>
  </si>
  <si>
    <t>Lenny Joseph</t>
  </si>
  <si>
    <t>Danley Jean Jacques</t>
  </si>
  <si>
    <t>Wilson Isidor</t>
  </si>
  <si>
    <t>Yassin Fortune</t>
  </si>
  <si>
    <t>Frantzdy Pierrot</t>
  </si>
  <si>
    <t>Josue Casimir</t>
  </si>
  <si>
    <t>Jean-Kevin Duverne</t>
  </si>
  <si>
    <t>Josue Duverger</t>
  </si>
  <si>
    <t>Wilguens Paugain</t>
  </si>
  <si>
    <t>Dominique Simon</t>
  </si>
  <si>
    <t>Woodensky Pierre</t>
  </si>
  <si>
    <t>Alireza Beiranvand</t>
  </si>
  <si>
    <t>Saleh Hardani</t>
  </si>
  <si>
    <t>Ehsan Hajisafi</t>
  </si>
  <si>
    <t>Shoja Khalilzadeh</t>
  </si>
  <si>
    <t>Milad Mohammadi</t>
  </si>
  <si>
    <t>Saeid Ezatolahi</t>
  </si>
  <si>
    <t>Alireza Jahanbakhsh</t>
  </si>
  <si>
    <t>Mohammad Mohebbi</t>
  </si>
  <si>
    <t>Mehdi Taremi</t>
  </si>
  <si>
    <t>Mehdi Ghayedi</t>
  </si>
  <si>
    <t>Ali Alipour</t>
  </si>
  <si>
    <t>Payam Niazmand</t>
  </si>
  <si>
    <t>Hossein Kanani</t>
  </si>
  <si>
    <t>Saman Ghoddos</t>
  </si>
  <si>
    <t>Roozbeh Cheshmi</t>
  </si>
  <si>
    <t>Mehdi Torabi</t>
  </si>
  <si>
    <t>Arya Yousefi</t>
  </si>
  <si>
    <t>Amirhossein Hosseinzadeh</t>
  </si>
  <si>
    <t>Ali Nemati</t>
  </si>
  <si>
    <t>Shahriyar Moghanloo</t>
  </si>
  <si>
    <t>Mohammad Ghorbani</t>
  </si>
  <si>
    <t>Hossein Hosseini</t>
  </si>
  <si>
    <t>Ramin Rezaeian</t>
  </si>
  <si>
    <t>Dennis Dargahi</t>
  </si>
  <si>
    <t>Danial Iri</t>
  </si>
  <si>
    <t>Amirmohammad Razaghinia</t>
  </si>
  <si>
    <t>Fahad Talib</t>
  </si>
  <si>
    <t>Rebin Sulaka</t>
  </si>
  <si>
    <t>Hussein Ali</t>
  </si>
  <si>
    <t>Zaid Tahseen</t>
  </si>
  <si>
    <t>Akam Hashim</t>
  </si>
  <si>
    <t>Munaf Younus</t>
  </si>
  <si>
    <t>Youssef Amyn</t>
  </si>
  <si>
    <t>Ibrahim Bayesh</t>
  </si>
  <si>
    <t>Ali Alhamadi</t>
  </si>
  <si>
    <t>Mohanad Ali</t>
  </si>
  <si>
    <t>Ahmed Qasem</t>
  </si>
  <si>
    <t>Jalal Hassan</t>
  </si>
  <si>
    <t>Ali Yousif</t>
  </si>
  <si>
    <t>Zidane Iqbal</t>
  </si>
  <si>
    <t>Ahmed Maknazi</t>
  </si>
  <si>
    <t>Amir Alammari</t>
  </si>
  <si>
    <t>Ali Jasim</t>
  </si>
  <si>
    <t>Aymen Hussein</t>
  </si>
  <si>
    <t>Kevin Yakob</t>
  </si>
  <si>
    <t>Aimar Sher</t>
  </si>
  <si>
    <t>Marko Farji</t>
  </si>
  <si>
    <t>Ahmed Basil</t>
  </si>
  <si>
    <t>Merchas Doski</t>
  </si>
  <si>
    <t>Zaid Ismael</t>
  </si>
  <si>
    <t>Mustafa Saadoon</t>
  </si>
  <si>
    <t>Frans Putros</t>
  </si>
  <si>
    <t>Zion Suzuki</t>
  </si>
  <si>
    <t>Yukinari Sugawara</t>
  </si>
  <si>
    <t>Shogo Taniguchi</t>
  </si>
  <si>
    <t>Kou Itakura</t>
  </si>
  <si>
    <t>Yuto Nagatomo</t>
  </si>
  <si>
    <t>Shuto Machino</t>
  </si>
  <si>
    <t>Ao Tanaka</t>
  </si>
  <si>
    <t>Takefusa Kubo</t>
  </si>
  <si>
    <t>Keisuke Goto</t>
  </si>
  <si>
    <t>Ritsu Doan</t>
  </si>
  <si>
    <t>Daizen Maeda</t>
  </si>
  <si>
    <t>Keisuke Osako</t>
  </si>
  <si>
    <t>Keito Nakamura</t>
  </si>
  <si>
    <t>Junya Ito</t>
  </si>
  <si>
    <t>Daichi Kamada</t>
  </si>
  <si>
    <t>Tsuyoshi Watanabe</t>
  </si>
  <si>
    <t>Yuito Suzuki</t>
  </si>
  <si>
    <t>Ayase Ueda</t>
  </si>
  <si>
    <t>Koki Ogawa</t>
  </si>
  <si>
    <t>Ayumu Seko</t>
  </si>
  <si>
    <t>Hiroki Ito</t>
  </si>
  <si>
    <t>Takehiro Tomiyasu</t>
  </si>
  <si>
    <t>Tomoki Hayakawa</t>
  </si>
  <si>
    <t>Kaishu Sano</t>
  </si>
  <si>
    <t>Junnosuke Suzuki</t>
  </si>
  <si>
    <t>Kento Shiogai</t>
  </si>
  <si>
    <t>Yazeed Abulaila</t>
  </si>
  <si>
    <t>Mohammad Abuhasheesh</t>
  </si>
  <si>
    <t>Abdallah Nasib</t>
  </si>
  <si>
    <t>Husam Abudahab</t>
  </si>
  <si>
    <t>Yazan Alarab</t>
  </si>
  <si>
    <t>Amer Jamous</t>
  </si>
  <si>
    <t>Mohammad Abuzraiq</t>
  </si>
  <si>
    <t>Noor Alrawabdeh</t>
  </si>
  <si>
    <t>Ali Olwan</t>
  </si>
  <si>
    <t>Mousa Altamari</t>
  </si>
  <si>
    <t>Odeh Fakhoury</t>
  </si>
  <si>
    <t>Nour Baniateyah</t>
  </si>
  <si>
    <t>Mahmoud Almardi</t>
  </si>
  <si>
    <t>Rajaei Ayed</t>
  </si>
  <si>
    <t>Ibrahim Sadeh</t>
  </si>
  <si>
    <t>Mohammad Abualnadi</t>
  </si>
  <si>
    <t>Saleem Obaid</t>
  </si>
  <si>
    <t>Mohammad Abughoush</t>
  </si>
  <si>
    <t>Saed Alrosan</t>
  </si>
  <si>
    <t>Mohannad Abutaha</t>
  </si>
  <si>
    <t>Nizar Alrashdan</t>
  </si>
  <si>
    <t>Abdallah Alfakhori</t>
  </si>
  <si>
    <t>Ehsan Haddad</t>
  </si>
  <si>
    <t>Ali Azaizeh</t>
  </si>
  <si>
    <t>Mohammad Aldaoud</t>
  </si>
  <si>
    <t>Anas Badawi</t>
  </si>
  <si>
    <t>Seunggyu Kim</t>
  </si>
  <si>
    <t>Hanbeom Lee</t>
  </si>
  <si>
    <t>Gihyuk Lee</t>
  </si>
  <si>
    <t>Minjae Kim</t>
  </si>
  <si>
    <t>Taehyeon Kim</t>
  </si>
  <si>
    <t>Inbeom Hwang</t>
  </si>
  <si>
    <t>Heungmin Son</t>
  </si>
  <si>
    <t>Seungho Paik</t>
  </si>
  <si>
    <t>Guesung Cho</t>
  </si>
  <si>
    <t>Jaesung Lee</t>
  </si>
  <si>
    <t>Heechan Hwang</t>
  </si>
  <si>
    <t>Bumkeun Song</t>
  </si>
  <si>
    <t>Taeseok Lee</t>
  </si>
  <si>
    <t>Wije Cho</t>
  </si>
  <si>
    <t>Moonhwan Kim</t>
  </si>
  <si>
    <t>Jinseob Park</t>
  </si>
  <si>
    <t>Junho Bae</t>
  </si>
  <si>
    <t>Hyeongyu Oh</t>
  </si>
  <si>
    <t>Kangin Lee</t>
  </si>
  <si>
    <t>Hyunjun Yang</t>
  </si>
  <si>
    <t>Hyeonwoo Jo</t>
  </si>
  <si>
    <t>Youngwoo Seol</t>
  </si>
  <si>
    <t>Jens Castrop</t>
  </si>
  <si>
    <t>Jingyu Kim</t>
  </si>
  <si>
    <t>Jisung Eom</t>
  </si>
  <si>
    <t>Donggyeong Lee</t>
  </si>
  <si>
    <t>Raul Rangel</t>
  </si>
  <si>
    <t>Jorge Sanchez</t>
  </si>
  <si>
    <t>Cesar Montes</t>
  </si>
  <si>
    <t>Edson Alvarez</t>
  </si>
  <si>
    <t>Johan Vasquez</t>
  </si>
  <si>
    <t>Erik Lira</t>
  </si>
  <si>
    <t>Luis Romo</t>
  </si>
  <si>
    <t>Alvaro Fidalgo</t>
  </si>
  <si>
    <t>Raul Jimenez</t>
  </si>
  <si>
    <t>Alexis Vega</t>
  </si>
  <si>
    <t>Santiago Gimenez</t>
  </si>
  <si>
    <t>Carlos Acevedo</t>
  </si>
  <si>
    <t>Guillermo Ochoa</t>
  </si>
  <si>
    <t>Armando Gonzalez</t>
  </si>
  <si>
    <t>Israel Reyes</t>
  </si>
  <si>
    <t>Julian Quinones</t>
  </si>
  <si>
    <t>Orbelin Pineda</t>
  </si>
  <si>
    <t>Obed Vargas</t>
  </si>
  <si>
    <t>Gilberto Mora</t>
  </si>
  <si>
    <t>Mateo Chavez</t>
  </si>
  <si>
    <t>Cesar Huerta</t>
  </si>
  <si>
    <t>Guillermo Martinez</t>
  </si>
  <si>
    <t>Jesus Gallardo</t>
  </si>
  <si>
    <t>Luis Chavez</t>
  </si>
  <si>
    <t>Roberto Alvarado</t>
  </si>
  <si>
    <t>Brian Gutierrez</t>
  </si>
  <si>
    <t>Yassine Bounou</t>
  </si>
  <si>
    <t>Achraf Hakimi</t>
  </si>
  <si>
    <t>Noussair Mazraoui</t>
  </si>
  <si>
    <t>Sofyan Amrabat</t>
  </si>
  <si>
    <t>Marwane Saadane</t>
  </si>
  <si>
    <t>Ayyoub Bouaddi</t>
  </si>
  <si>
    <t>Chemsdine Talbi</t>
  </si>
  <si>
    <t>Azzedine Ounahi</t>
  </si>
  <si>
    <t>Soufiane Rahimi</t>
  </si>
  <si>
    <t>Brahim Diaz</t>
  </si>
  <si>
    <t>Ismael Saibari</t>
  </si>
  <si>
    <t>Munir El Kajoui</t>
  </si>
  <si>
    <t>Zakaria El Ouahdi</t>
  </si>
  <si>
    <t>Issa Diop</t>
  </si>
  <si>
    <t>Samir El Mourabet</t>
  </si>
  <si>
    <t>Gessime Yassine</t>
  </si>
  <si>
    <t>Amine Sbai</t>
  </si>
  <si>
    <t>Chadi Riad</t>
  </si>
  <si>
    <t>Youssef Belammari</t>
  </si>
  <si>
    <t>Ayoub El Kaabi</t>
  </si>
  <si>
    <t>Ayoube Amaimouni</t>
  </si>
  <si>
    <t>Ahmed Reda Tagnaouti</t>
  </si>
  <si>
    <t>Bilal El Khannouss</t>
  </si>
  <si>
    <t>Neil El Aynaoui</t>
  </si>
  <si>
    <t>Redouane Halhal</t>
  </si>
  <si>
    <t>Anass Salah Eddine</t>
  </si>
  <si>
    <t>Bart Verbruggen</t>
  </si>
  <si>
    <t>Lutsharel Geertruida</t>
  </si>
  <si>
    <t>Marten De Roon</t>
  </si>
  <si>
    <t>Virgil Van Dijk</t>
  </si>
  <si>
    <t>Nathan Ake</t>
  </si>
  <si>
    <t>Jan Paul Van Hecke</t>
  </si>
  <si>
    <t>Justin Kluivert</t>
  </si>
  <si>
    <t>Ryan Gravenberch</t>
  </si>
  <si>
    <t>Wout Weghorst</t>
  </si>
  <si>
    <t>Memphis Depay</t>
  </si>
  <si>
    <t>Cody Gakpo</t>
  </si>
  <si>
    <t>Mats Wieffer</t>
  </si>
  <si>
    <t>Robin Roefs</t>
  </si>
  <si>
    <t>Tijjani Reijnders</t>
  </si>
  <si>
    <t>Micky Van De Ven</t>
  </si>
  <si>
    <t>Guus Til</t>
  </si>
  <si>
    <t>Noa Lang</t>
  </si>
  <si>
    <t>Donyell Malen</t>
  </si>
  <si>
    <t>Brian Brobbey</t>
  </si>
  <si>
    <t>Teun Koopmeiners</t>
  </si>
  <si>
    <t>Frenkie De Jong</t>
  </si>
  <si>
    <t>Denzel Dumfries</t>
  </si>
  <si>
    <t>Mark Flekken</t>
  </si>
  <si>
    <t>Crysencio Summerville</t>
  </si>
  <si>
    <t>Jorrel Hato</t>
  </si>
  <si>
    <t>Quinten Timber</t>
  </si>
  <si>
    <t>Max Crocombe</t>
  </si>
  <si>
    <t>Tim Payne</t>
  </si>
  <si>
    <t>Francis De Vries</t>
  </si>
  <si>
    <t>Tyler Bindon</t>
  </si>
  <si>
    <t>Michael Boxall</t>
  </si>
  <si>
    <t>Joe Bell</t>
  </si>
  <si>
    <t>Logan Rogerson</t>
  </si>
  <si>
    <t>Marko Stamenic</t>
  </si>
  <si>
    <t>Chris Wood</t>
  </si>
  <si>
    <t>Sarpreet Singh</t>
  </si>
  <si>
    <t>Elijah Just</t>
  </si>
  <si>
    <t>Alex Paulsen</t>
  </si>
  <si>
    <t>Liberato Cacace</t>
  </si>
  <si>
    <t>Alex Rufer</t>
  </si>
  <si>
    <t>Nando Pijnaker</t>
  </si>
  <si>
    <t>Finn Surman</t>
  </si>
  <si>
    <t>Kosta Barbarouses</t>
  </si>
  <si>
    <t>Ben Waine</t>
  </si>
  <si>
    <t>Ben Old</t>
  </si>
  <si>
    <t>Callum Mccowatt</t>
  </si>
  <si>
    <t>Jesse Randall</t>
  </si>
  <si>
    <t>Michael Woud</t>
  </si>
  <si>
    <t>Ryan Thomas</t>
  </si>
  <si>
    <t>Callan Elliot</t>
  </si>
  <si>
    <t>Lachlan Bayliss</t>
  </si>
  <si>
    <t>Tommy Smith</t>
  </si>
  <si>
    <t>Orjan Nyland</t>
  </si>
  <si>
    <t>Morten Thorsby</t>
  </si>
  <si>
    <t>Kristoffer Ajer</t>
  </si>
  <si>
    <t>Leo Ostigard</t>
  </si>
  <si>
    <t>David Moller Wolfe</t>
  </si>
  <si>
    <t>Patrick Berg</t>
  </si>
  <si>
    <t>Alexander Sorloth</t>
  </si>
  <si>
    <t>Sander Berge</t>
  </si>
  <si>
    <t>Erling Haaland</t>
  </si>
  <si>
    <t>Martin Odegaard</t>
  </si>
  <si>
    <t>Jorgen Strand Larsen</t>
  </si>
  <si>
    <t>Sander Tangvik</t>
  </si>
  <si>
    <t>Egil Selvik</t>
  </si>
  <si>
    <t>Fredrik Aursnes</t>
  </si>
  <si>
    <t>Fredrik Andre Bjorkan</t>
  </si>
  <si>
    <t>Marcus Holmgren Pedersen</t>
  </si>
  <si>
    <t>Torbjorn Heggem</t>
  </si>
  <si>
    <t>Kristian Thorstvedt</t>
  </si>
  <si>
    <t>Thelo Aasgaard</t>
  </si>
  <si>
    <t>Antonio Nusa</t>
  </si>
  <si>
    <t>Andreas Schjelderup</t>
  </si>
  <si>
    <t>Oscar Bobb</t>
  </si>
  <si>
    <t>Jens Petter Hauge</t>
  </si>
  <si>
    <t>Sondre Langas</t>
  </si>
  <si>
    <t>Henrik Falchener</t>
  </si>
  <si>
    <t>Julian Ryerson</t>
  </si>
  <si>
    <t>Luis Mejia</t>
  </si>
  <si>
    <t>Cesar Blackman</t>
  </si>
  <si>
    <t>Jose Cordoba</t>
  </si>
  <si>
    <t>Fidel Escobar</t>
  </si>
  <si>
    <t>Edgardo Farina</t>
  </si>
  <si>
    <t>Cristian Martinez</t>
  </si>
  <si>
    <t>Jose Luis Rodriguez</t>
  </si>
  <si>
    <t>Adalberto Carrasquilla</t>
  </si>
  <si>
    <t>Tomas Rodriguez</t>
  </si>
  <si>
    <t>Ismael Diaz</t>
  </si>
  <si>
    <t>Edgar Yoel Barcenas</t>
  </si>
  <si>
    <t>Cesar Samudio</t>
  </si>
  <si>
    <t>Jiovany Ramos</t>
  </si>
  <si>
    <t>Carlos Harvey</t>
  </si>
  <si>
    <t>Eric Davis</t>
  </si>
  <si>
    <t>Andres Andrade</t>
  </si>
  <si>
    <t>Jose Fajardo</t>
  </si>
  <si>
    <t>Cecilio Waterman</t>
  </si>
  <si>
    <t>Alberto Quintero</t>
  </si>
  <si>
    <t>Anibal Godoy</t>
  </si>
  <si>
    <t>Cesar Yanis</t>
  </si>
  <si>
    <t>Orlando Mosquera</t>
  </si>
  <si>
    <t>Amir Murillo</t>
  </si>
  <si>
    <t>Azarias Londono</t>
  </si>
  <si>
    <t>Roderick Miller</t>
  </si>
  <si>
    <t>Jorge Gutierrez</t>
  </si>
  <si>
    <t>Gatito Fernandez</t>
  </si>
  <si>
    <t>Gustavo Velazquez</t>
  </si>
  <si>
    <t>Omar Alderete</t>
  </si>
  <si>
    <t>Juan Jose Caceres</t>
  </si>
  <si>
    <t>Fabian Balbuena</t>
  </si>
  <si>
    <t>Junior Alonso</t>
  </si>
  <si>
    <t>Ramon Sosa</t>
  </si>
  <si>
    <t>Diego Gomez</t>
  </si>
  <si>
    <t>Antonio Sanabria</t>
  </si>
  <si>
    <t>Miguel Almiron</t>
  </si>
  <si>
    <t>Mauricio</t>
  </si>
  <si>
    <t>Orlando Gill</t>
  </si>
  <si>
    <t>Jose Canale</t>
  </si>
  <si>
    <t>Andres Cubas</t>
  </si>
  <si>
    <t>Gustavo Gomez</t>
  </si>
  <si>
    <t>Damian Bobadilla</t>
  </si>
  <si>
    <t>Alejandro Romero Gamarra</t>
  </si>
  <si>
    <t>Alex Arce</t>
  </si>
  <si>
    <t>Julio Enciso</t>
  </si>
  <si>
    <t>Braian Ojeda</t>
  </si>
  <si>
    <t>Gabriel Avalos</t>
  </si>
  <si>
    <t>Gaston Olveira</t>
  </si>
  <si>
    <t>Matias Galarza</t>
  </si>
  <si>
    <t>Gustavo Caballero</t>
  </si>
  <si>
    <t>Isidro Pitta</t>
  </si>
  <si>
    <t>Alexandro Maidana</t>
  </si>
  <si>
    <t>Diogo Costa</t>
  </si>
  <si>
    <t>Nelson Semedo</t>
  </si>
  <si>
    <t>Ruben Dias</t>
  </si>
  <si>
    <t>Tomas Araujo</t>
  </si>
  <si>
    <t>Diogo Dalot</t>
  </si>
  <si>
    <t>Matheus Nunes</t>
  </si>
  <si>
    <t>Cristiano Ronaldo</t>
  </si>
  <si>
    <t>Bruno Fernandes</t>
  </si>
  <si>
    <t>Goncalo Ramos</t>
  </si>
  <si>
    <t>Bernardo Silva</t>
  </si>
  <si>
    <t>Joao Felix</t>
  </si>
  <si>
    <t>Jose Sa</t>
  </si>
  <si>
    <t>Renato Veiga</t>
  </si>
  <si>
    <t>Goncalo Inacio</t>
  </si>
  <si>
    <t>Joao Neves</t>
  </si>
  <si>
    <t>Francisco Trincao</t>
  </si>
  <si>
    <t>Rafael Leao</t>
  </si>
  <si>
    <t>Pedro Neto</t>
  </si>
  <si>
    <t>Goncalo Guedes</t>
  </si>
  <si>
    <t>Joao Cancelo</t>
  </si>
  <si>
    <t>Ruben Neves</t>
  </si>
  <si>
    <t>Rui Silva</t>
  </si>
  <si>
    <t>Vitinha</t>
  </si>
  <si>
    <t>Samu Costa</t>
  </si>
  <si>
    <t>Nuno Mendes</t>
  </si>
  <si>
    <t>Francisco Conceicao</t>
  </si>
  <si>
    <t>Mahmoud Abunada</t>
  </si>
  <si>
    <t>Pedro Miguel</t>
  </si>
  <si>
    <t>Lucas Mendes</t>
  </si>
  <si>
    <t>Issa Laye</t>
  </si>
  <si>
    <t>Jassem Gaber</t>
  </si>
  <si>
    <t>Abdulaziz Hatem</t>
  </si>
  <si>
    <t>Ahmed Alaaeldin</t>
  </si>
  <si>
    <t>Edmilson Junior</t>
  </si>
  <si>
    <t>Mohammed Muntari</t>
  </si>
  <si>
    <t>Hassan Alhaydos</t>
  </si>
  <si>
    <t>Akram Afif</t>
  </si>
  <si>
    <t>Karim Boudiaf</t>
  </si>
  <si>
    <t>Ayoub Aloui</t>
  </si>
  <si>
    <t>Homam Ahmed</t>
  </si>
  <si>
    <t>Yusuf Abdurisag</t>
  </si>
  <si>
    <t>Boualem Khoukhi</t>
  </si>
  <si>
    <t>Ahmed Alganehi</t>
  </si>
  <si>
    <t>Sultan Albrake</t>
  </si>
  <si>
    <t>Almoez Ali</t>
  </si>
  <si>
    <t>Ahmed Fathy</t>
  </si>
  <si>
    <t>Salah Zakaria</t>
  </si>
  <si>
    <t>Meshaal Barsham</t>
  </si>
  <si>
    <t>Assim Madibo</t>
  </si>
  <si>
    <t>Tahsin Mohammed</t>
  </si>
  <si>
    <t>Alhashmi Alhussein</t>
  </si>
  <si>
    <t>Mohamed Manai</t>
  </si>
  <si>
    <t>Nawaf Alaqidi</t>
  </si>
  <si>
    <t>Ali Majrashi</t>
  </si>
  <si>
    <t>Ali Lajami</t>
  </si>
  <si>
    <t>Abdulelah Alamri</t>
  </si>
  <si>
    <t>Hassan Altambakti</t>
  </si>
  <si>
    <t>Nasser Aldawsari</t>
  </si>
  <si>
    <t>Musab Aljuwayr</t>
  </si>
  <si>
    <t>Aiman Yahya</t>
  </si>
  <si>
    <t>Feras Albrikan</t>
  </si>
  <si>
    <t>Salem Aldawsari</t>
  </si>
  <si>
    <t>Saleh Alshehri</t>
  </si>
  <si>
    <t>Saud Abdulhamid</t>
  </si>
  <si>
    <t>Nawaf Bu Washl</t>
  </si>
  <si>
    <t>Hassan Kadish</t>
  </si>
  <si>
    <t>Abdullah Alkhaibari</t>
  </si>
  <si>
    <t>Ziyad Aljohani</t>
  </si>
  <si>
    <t>Khalid Alghannam</t>
  </si>
  <si>
    <t>Ala Alhajji</t>
  </si>
  <si>
    <t>Abdullah Alhamddan</t>
  </si>
  <si>
    <t>Sultan Mandash</t>
  </si>
  <si>
    <t>Mohammed Alowais</t>
  </si>
  <si>
    <t>Ahmed Alkassar</t>
  </si>
  <si>
    <t>Mohamed Kanno</t>
  </si>
  <si>
    <t>Moteb Alharbi</t>
  </si>
  <si>
    <t>Jehad Thikri</t>
  </si>
  <si>
    <t>Mohammed Abu Alshamat</t>
  </si>
  <si>
    <t>Angus Gunn</t>
  </si>
  <si>
    <t>Aaron Hickey</t>
  </si>
  <si>
    <t>Andy Robertson</t>
  </si>
  <si>
    <t>Scott Mctominay</t>
  </si>
  <si>
    <t>Grant Hanley</t>
  </si>
  <si>
    <t>Kieran Tierney</t>
  </si>
  <si>
    <t>John Mcginn</t>
  </si>
  <si>
    <t>Tyler Fletcher</t>
  </si>
  <si>
    <t>Lyndon Dykes</t>
  </si>
  <si>
    <t>Che Adams</t>
  </si>
  <si>
    <t>Ryan Christie</t>
  </si>
  <si>
    <t>Liam Kelly</t>
  </si>
  <si>
    <t>Jack Hendry</t>
  </si>
  <si>
    <t>Ross Stewart</t>
  </si>
  <si>
    <t>John Souttar</t>
  </si>
  <si>
    <t>Dominic Hyam</t>
  </si>
  <si>
    <t>Ben Gannon-Doak</t>
  </si>
  <si>
    <t>George Hirst</t>
  </si>
  <si>
    <t>Lewis Ferguson</t>
  </si>
  <si>
    <t>Lawrence Shankland</t>
  </si>
  <si>
    <t>Craig Gordon</t>
  </si>
  <si>
    <t>Nathan Patterson</t>
  </si>
  <si>
    <t>Kenny Mclean</t>
  </si>
  <si>
    <t>Anthony Ralston</t>
  </si>
  <si>
    <t>Findlay Curtis</t>
  </si>
  <si>
    <t>Scott Mckenna</t>
  </si>
  <si>
    <t>Yehvann Diouf</t>
  </si>
  <si>
    <t>Mamadou Sarr</t>
  </si>
  <si>
    <t>Kalidou Koulibaly</t>
  </si>
  <si>
    <t>Abdoulaye Seck</t>
  </si>
  <si>
    <t>Idrissa Gana Gueye</t>
  </si>
  <si>
    <t>Pathe Ciss</t>
  </si>
  <si>
    <t>Assane Diao</t>
  </si>
  <si>
    <t>Lamine Camara</t>
  </si>
  <si>
    <t>Bamba Dieng</t>
  </si>
  <si>
    <t>Sadio Mane</t>
  </si>
  <si>
    <t>Nicolas Jackson</t>
  </si>
  <si>
    <t>Cherif Ndiaye</t>
  </si>
  <si>
    <t>Iliman Ndiaye</t>
  </si>
  <si>
    <t>Ismail Jakobs</t>
  </si>
  <si>
    <t>Krepin Diatta</t>
  </si>
  <si>
    <t>Edouard Mendy</t>
  </si>
  <si>
    <t>Pape Matar Sarr</t>
  </si>
  <si>
    <t>Ismaila Sarr</t>
  </si>
  <si>
    <t>Moussa Niakhate</t>
  </si>
  <si>
    <t>Ibrahim Mbaye</t>
  </si>
  <si>
    <t>Habib Diarra</t>
  </si>
  <si>
    <t>Bara Sapoko Ndiaye</t>
  </si>
  <si>
    <t>Mory Diaw</t>
  </si>
  <si>
    <t>Antoine Mendy</t>
  </si>
  <si>
    <t>El Hadji Malick Diouf</t>
  </si>
  <si>
    <t>Pape Gueye</t>
  </si>
  <si>
    <t>Ronwen Williams</t>
  </si>
  <si>
    <t>Thabang Matuludi</t>
  </si>
  <si>
    <t>Khulumani Ndamane</t>
  </si>
  <si>
    <t>Teboho Mokoena</t>
  </si>
  <si>
    <t>Thalente Mbatha</t>
  </si>
  <si>
    <t>Aubrey Modiba</t>
  </si>
  <si>
    <t>Oswin Appollis</t>
  </si>
  <si>
    <t>Tshepang Moremi</t>
  </si>
  <si>
    <t>Lyle Foster</t>
  </si>
  <si>
    <t>Relebohile Mofokeng</t>
  </si>
  <si>
    <t>Themba Zwane</t>
  </si>
  <si>
    <t>Thapelo Maseko</t>
  </si>
  <si>
    <t>Sphephelo Sithole</t>
  </si>
  <si>
    <t>Mbekezeli Mbokazi</t>
  </si>
  <si>
    <t>Iqraam Rayners</t>
  </si>
  <si>
    <t>Sipho Chaine</t>
  </si>
  <si>
    <t>Evidence Makgopa</t>
  </si>
  <si>
    <t>Samukele Kabini</t>
  </si>
  <si>
    <t>Nkosinathi Sibisi</t>
  </si>
  <si>
    <t>Khuliso Mudau</t>
  </si>
  <si>
    <t>Ime Okon</t>
  </si>
  <si>
    <t>Ricardo Goss</t>
  </si>
  <si>
    <t>Jayden Adams</t>
  </si>
  <si>
    <t>Olwethu Makhanya</t>
  </si>
  <si>
    <t>Kamogelo Sebelebele</t>
  </si>
  <si>
    <t>Bradley Cross</t>
  </si>
  <si>
    <t>David Raya</t>
  </si>
  <si>
    <t>Marc Pubill</t>
  </si>
  <si>
    <t>Alex Grimaldo</t>
  </si>
  <si>
    <t>Eric Garcia</t>
  </si>
  <si>
    <t>Marcos Llorente</t>
  </si>
  <si>
    <t>Mikel Merino</t>
  </si>
  <si>
    <t>Ferran Torres</t>
  </si>
  <si>
    <t>Fabian Ruiz</t>
  </si>
  <si>
    <t>Gavi</t>
  </si>
  <si>
    <t>Dani Olmo</t>
  </si>
  <si>
    <t>Yeremy Pino</t>
  </si>
  <si>
    <t>Pedro Porro</t>
  </si>
  <si>
    <t>Joan Garcia</t>
  </si>
  <si>
    <t>Aymeric Laporte</t>
  </si>
  <si>
    <t>Alex Baena</t>
  </si>
  <si>
    <t>Rodri</t>
  </si>
  <si>
    <t>Nico Williams</t>
  </si>
  <si>
    <t>Martin Zubimendi</t>
  </si>
  <si>
    <t>Lamine Yamal</t>
  </si>
  <si>
    <t>Pedri</t>
  </si>
  <si>
    <t>Mikel Oyarzabal</t>
  </si>
  <si>
    <t>Pau Cubarsi</t>
  </si>
  <si>
    <t>Unai Simon</t>
  </si>
  <si>
    <t>Marc Cucurella</t>
  </si>
  <si>
    <t>Victor Munoz</t>
  </si>
  <si>
    <t>Borja Iglesias</t>
  </si>
  <si>
    <t>Jacob Widell Zetterstrom</t>
  </si>
  <si>
    <t>Gustaf Lagerbielke</t>
  </si>
  <si>
    <t>Victor Lindelof</t>
  </si>
  <si>
    <t>Isak Hien</t>
  </si>
  <si>
    <t>Gabriel Gudmundsson</t>
  </si>
  <si>
    <t>Herman Johansson</t>
  </si>
  <si>
    <t>Lucas Bergvall</t>
  </si>
  <si>
    <t>Daniel Svensson</t>
  </si>
  <si>
    <t>Alexander Isak</t>
  </si>
  <si>
    <t>Benjamin Nygren</t>
  </si>
  <si>
    <t>Anthony Elanga</t>
  </si>
  <si>
    <t>Viktor Johansson</t>
  </si>
  <si>
    <t>Ken Sema</t>
  </si>
  <si>
    <t>Hjalmar Ekdal</t>
  </si>
  <si>
    <t>Carl Starfelt</t>
  </si>
  <si>
    <t>Jesper Karlstrom</t>
  </si>
  <si>
    <t>Viktor Gyokeres</t>
  </si>
  <si>
    <t>Yasin Ayari</t>
  </si>
  <si>
    <t>Mattias Svanberg</t>
  </si>
  <si>
    <t>Eric Smith</t>
  </si>
  <si>
    <t>Alexander Bernhardsson</t>
  </si>
  <si>
    <t>Besfort Zeneli</t>
  </si>
  <si>
    <t>Kristoffer Nordfeldt</t>
  </si>
  <si>
    <t>Elliot Stroud</t>
  </si>
  <si>
    <t>Gustaf Nilsson</t>
  </si>
  <si>
    <t>Taha Ali</t>
  </si>
  <si>
    <t>Gregor Kobel</t>
  </si>
  <si>
    <t>Miro Muheim</t>
  </si>
  <si>
    <t>Silvan Widmer</t>
  </si>
  <si>
    <t>Nico Elvedi</t>
  </si>
  <si>
    <t>Manuel Akanji</t>
  </si>
  <si>
    <t>Denis Zakaria</t>
  </si>
  <si>
    <t>Breel Embolo</t>
  </si>
  <si>
    <t>Remo Freuler</t>
  </si>
  <si>
    <t>Johan Manzambi</t>
  </si>
  <si>
    <t>Granit Xhaka</t>
  </si>
  <si>
    <t>Dan Ndoye</t>
  </si>
  <si>
    <t>Yvon Mvogo</t>
  </si>
  <si>
    <t>Ricardo Rodriguez</t>
  </si>
  <si>
    <t>Ardon Jashari</t>
  </si>
  <si>
    <t>Djibril Sow</t>
  </si>
  <si>
    <t>Christian Fassnacht</t>
  </si>
  <si>
    <t>Ruben Vargas</t>
  </si>
  <si>
    <t>Eray Coemert</t>
  </si>
  <si>
    <t>Noah Okafor</t>
  </si>
  <si>
    <t>Michel Aebischer</t>
  </si>
  <si>
    <t>Marvin Keller</t>
  </si>
  <si>
    <t>Fabian Rieder</t>
  </si>
  <si>
    <t>Zeki Amdouni</t>
  </si>
  <si>
    <t>Aurele Amenda</t>
  </si>
  <si>
    <t>Luca Jaquez</t>
  </si>
  <si>
    <t>Cedric Itten</t>
  </si>
  <si>
    <t>Mouhib Chamakh</t>
  </si>
  <si>
    <t>Ali Abdi</t>
  </si>
  <si>
    <t>Montassar Talbi</t>
  </si>
  <si>
    <t>Omar Rekik</t>
  </si>
  <si>
    <t>Adam Arous</t>
  </si>
  <si>
    <t>Dylan Bronn</t>
  </si>
  <si>
    <t>Elias Achouri</t>
  </si>
  <si>
    <t>Elias Saad</t>
  </si>
  <si>
    <t>Hazem Mastouri</t>
  </si>
  <si>
    <t>Hannibal Mejbri</t>
  </si>
  <si>
    <t>Ismael Gharbi</t>
  </si>
  <si>
    <t>Mortadha Ben Ouanes</t>
  </si>
  <si>
    <t>Rani Khedira</t>
  </si>
  <si>
    <t>Khalil Ayari</t>
  </si>
  <si>
    <t>Mohamed Hadj Mahmoud</t>
  </si>
  <si>
    <t>Aymen Dahmen</t>
  </si>
  <si>
    <t>Ellyes Skhiri</t>
  </si>
  <si>
    <t>Rayan Elloumi</t>
  </si>
  <si>
    <t>Firas Chaouat</t>
  </si>
  <si>
    <t>Yan Valery</t>
  </si>
  <si>
    <t>Mohamed Amine Ben Hmida</t>
  </si>
  <si>
    <t>Sabri Ben Hessen</t>
  </si>
  <si>
    <t>Moutaz Neffati</t>
  </si>
  <si>
    <t>Raed Chikhaoui</t>
  </si>
  <si>
    <t>Anis Slimane</t>
  </si>
  <si>
    <t>Sebastian Tounekti</t>
  </si>
  <si>
    <t>Mert Gunok</t>
  </si>
  <si>
    <t>Zeki Celik</t>
  </si>
  <si>
    <t>Merih Demiral</t>
  </si>
  <si>
    <t>Caglar Soyuncu</t>
  </si>
  <si>
    <t>Salih Ozcan</t>
  </si>
  <si>
    <t>Orkun Kokcu</t>
  </si>
  <si>
    <t>Kerem Akturkoglu</t>
  </si>
  <si>
    <t>Arda Guler</t>
  </si>
  <si>
    <t>Deniz Gul</t>
  </si>
  <si>
    <t>Hakan Calhanoglu</t>
  </si>
  <si>
    <t>Kenan Yildiz</t>
  </si>
  <si>
    <t>Altay Bayindir</t>
  </si>
  <si>
    <t>Eren Elmali</t>
  </si>
  <si>
    <t>Abdulkerim Bardakci</t>
  </si>
  <si>
    <t>Ozan Kabak</t>
  </si>
  <si>
    <t>Ismail Yuksek</t>
  </si>
  <si>
    <t>Irfan Can Kahveci</t>
  </si>
  <si>
    <t>Mert Muldur</t>
  </si>
  <si>
    <t>Yunus Akgun</t>
  </si>
  <si>
    <t>Ferdi Kadioglu</t>
  </si>
  <si>
    <t>Baris Alper Yilmaz</t>
  </si>
  <si>
    <t>Kaan Ayhan</t>
  </si>
  <si>
    <t>Ugurcan Cakir</t>
  </si>
  <si>
    <t>Oguz Aydin</t>
  </si>
  <si>
    <t>Samet Akaydin</t>
  </si>
  <si>
    <t>Can Uzun</t>
  </si>
  <si>
    <t>Sergio Rochet</t>
  </si>
  <si>
    <t>Jose Maria Gimenez</t>
  </si>
  <si>
    <t>Sebastian Caceres</t>
  </si>
  <si>
    <t>Ronald Araujo</t>
  </si>
  <si>
    <t>Manuel Ugarte</t>
  </si>
  <si>
    <t>Rodrigo Bentancur</t>
  </si>
  <si>
    <t>Nicolas De La Cruz</t>
  </si>
  <si>
    <t>Federico Valverde</t>
  </si>
  <si>
    <t>Darwin Nunez</t>
  </si>
  <si>
    <t>Giorgian De Arrascaeta</t>
  </si>
  <si>
    <t>Facundo Pellistri</t>
  </si>
  <si>
    <t>Santiago Mele</t>
  </si>
  <si>
    <t>Guillermo Varela</t>
  </si>
  <si>
    <t>Agustin Canobbio</t>
  </si>
  <si>
    <t>Mathias Olivera</t>
  </si>
  <si>
    <t>Matias Vina</t>
  </si>
  <si>
    <t>Brian Rodriguez</t>
  </si>
  <si>
    <t>Rodrigo Aguirre</t>
  </si>
  <si>
    <t>Maxi Araujo</t>
  </si>
  <si>
    <t>Federico Vinas</t>
  </si>
  <si>
    <t>Joaquin Piquerez</t>
  </si>
  <si>
    <t>Fernando Muslera</t>
  </si>
  <si>
    <t>Santiago Bueno</t>
  </si>
  <si>
    <t>Juan Manuel Sanabria</t>
  </si>
  <si>
    <t>Rodrigo Zalazar</t>
  </si>
  <si>
    <t>Matt Turner</t>
  </si>
  <si>
    <t>Sergino Dest</t>
  </si>
  <si>
    <t>Chris Richards</t>
  </si>
  <si>
    <t>Tyler Adams</t>
  </si>
  <si>
    <t>Antonee Robinson</t>
  </si>
  <si>
    <t>Auston Trusty</t>
  </si>
  <si>
    <t>Giovanni Reyna</t>
  </si>
  <si>
    <t>Weston Mckennie</t>
  </si>
  <si>
    <t>Ricardo Pepi</t>
  </si>
  <si>
    <t>Christian Pulisic</t>
  </si>
  <si>
    <t>Brenden Aaronson</t>
  </si>
  <si>
    <t>Miles Robinson</t>
  </si>
  <si>
    <t>Tim Ream</t>
  </si>
  <si>
    <t>Sebastian Berhalter</t>
  </si>
  <si>
    <t>Cristian Roldan</t>
  </si>
  <si>
    <t>Alex Freeman</t>
  </si>
  <si>
    <t>Malik Tillman</t>
  </si>
  <si>
    <t>Max Arfsten</t>
  </si>
  <si>
    <t>Haji Wright</t>
  </si>
  <si>
    <t>Folarin Balogun</t>
  </si>
  <si>
    <t>Timothy Weah</t>
  </si>
  <si>
    <t>Mark Mckenzie</t>
  </si>
  <si>
    <t>Joe Scally</t>
  </si>
  <si>
    <t>Matt Freese</t>
  </si>
  <si>
    <t>Chris Brady</t>
  </si>
  <si>
    <t>Alex Zendejas</t>
  </si>
  <si>
    <t>Utkir Yusupov</t>
  </si>
  <si>
    <t>Abdukodir Khusanov</t>
  </si>
  <si>
    <t>Khojiakbar Alijonov</t>
  </si>
  <si>
    <t>Farrukh Sayfiev</t>
  </si>
  <si>
    <t>Rustam Ashurmatov</t>
  </si>
  <si>
    <t>Akmal Mozgovoy</t>
  </si>
  <si>
    <t>Otabek Shukurov</t>
  </si>
  <si>
    <t>Jamshid Iskanderov</t>
  </si>
  <si>
    <t>Odiljon Xamrobekov</t>
  </si>
  <si>
    <t>Ruslanbek Jiyanov</t>
  </si>
  <si>
    <t>Oston Urunov</t>
  </si>
  <si>
    <t>Abduvohid Nematov</t>
  </si>
  <si>
    <t>Sherzod Nasrullaev</t>
  </si>
  <si>
    <t>Eldor Shomurodov</t>
  </si>
  <si>
    <t>Umar Eshmurodov</t>
  </si>
  <si>
    <t>Botirali Ergashev</t>
  </si>
  <si>
    <t>Dostonbek Khamdamov</t>
  </si>
  <si>
    <t>Abdulla Abdullaev</t>
  </si>
  <si>
    <t>Azizjon Ganiev</t>
  </si>
  <si>
    <t>Azizbek Amonov</t>
  </si>
  <si>
    <t>Igor Sergeev</t>
  </si>
  <si>
    <t>Abbosbek Fayzullaev</t>
  </si>
  <si>
    <t>Sherzod Esanov</t>
  </si>
  <si>
    <t>Behruzjon Karimov</t>
  </si>
  <si>
    <t>Avazbek Ulmasaliyev</t>
  </si>
  <si>
    <t>Jakhongir Urozov</t>
  </si>
  <si>
    <t>Country</t>
  </si>
  <si>
    <t>Capacity</t>
  </si>
  <si>
    <t>Toronto Stadium</t>
  </si>
  <si>
    <t>Toronto, Ontario</t>
  </si>
  <si>
    <t>BC Place Vancouver</t>
  </si>
  <si>
    <t>Vancouver, British Colombia</t>
  </si>
  <si>
    <t>Mexico City Stadium</t>
  </si>
  <si>
    <t>Mexico City</t>
  </si>
  <si>
    <t>Guadalajara Stadium</t>
  </si>
  <si>
    <t>Zapopan, Jalisco</t>
  </si>
  <si>
    <t>Estadio Monterrey</t>
  </si>
  <si>
    <t>Guadalupe, Nuevo Leon</t>
  </si>
  <si>
    <t>Atlanta Stadium</t>
  </si>
  <si>
    <t>Atlanta, Georgia</t>
  </si>
  <si>
    <t>Boston Stadium</t>
  </si>
  <si>
    <t>Foxborough, Massachusetts</t>
  </si>
  <si>
    <t>Dallas Stadium</t>
  </si>
  <si>
    <t>Arlington, Texas</t>
  </si>
  <si>
    <t>Houston Stadium</t>
  </si>
  <si>
    <t>Houston, Texas</t>
  </si>
  <si>
    <t>Kansas City Stadium</t>
  </si>
  <si>
    <t>Kansas City, Missouri</t>
  </si>
  <si>
    <t>Los Angeles Stadium</t>
  </si>
  <si>
    <t>Inglewood, California</t>
  </si>
  <si>
    <t>Miami Stadium</t>
  </si>
  <si>
    <t>Miami Gardens, Florida</t>
  </si>
  <si>
    <t>New York New Jersey Stadium</t>
  </si>
  <si>
    <t>East Rutherford, New Jersey</t>
  </si>
  <si>
    <t>Philadelphia Stadium</t>
  </si>
  <si>
    <t>Philadelphia, Pennsylvania</t>
  </si>
  <si>
    <t>San Francisco Bay Area Stadium</t>
  </si>
  <si>
    <t>Santa Clara, California</t>
  </si>
  <si>
    <t>Seattle Stadium</t>
  </si>
  <si>
    <t>Seattle, 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</si>
</sst>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i/>
      <sz val="9"/>
      <color rgb="FF5B6B63"/>
      <name val="Arial"/>
      <charset val="1"/>
    </font>
    <font>
      <sz val="10"/>
      <name val="Arial"/>
      <charset val="1"/>
    </font>
    <font>
      <b/>
      <sz val="20"/>
      <color rgb="FFFFFFFF"/>
      <name val="Arial"/>
      <charset val="1"/>
    </font>
    <font>
      <b/>
      <sz val="18"/>
      <color rgb="FF0E3B2E"/>
      <name val="Arial"/>
      <charset val="1"/>
    </font>
    <font>
      <sz val="9"/>
      <color rgb="FF5B6B63"/>
      <name val="Arial"/>
      <charset val="1"/>
    </font>
    <font>
      <b/>
      <sz val="14"/>
      <color rgb="FF12233D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E3B2E"/>
        <bgColor rgb="FF12233D"/>
      </patternFill>
    </fill>
    <fill>
      <patternFill patternType="solid">
        <fgColor rgb="FFF5F7F5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2" fontId="4" fillId="3" borderId="0" xfId="0" applyNumberFormat="1" applyFont="1" applyFill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 indent="1"/>
    </xf>
    <xf numFmtId="0" fontId="3" fillId="2" borderId="0" xfId="0" applyFont="1" applyFill="1" applyAlignment="1">
      <alignment horizontal="left" vertical="center" indent="1"/>
    </xf>
    <xf numFmtId="0" fontId="1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0" fontId="7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5F7F5"/>
      <rgbColor rgb="FFF9F9F9"/>
      <rgbColor rgb="FF660066"/>
      <rgbColor rgb="FFF7964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2A900"/>
      <rgbColor rgb="FFFF6600"/>
      <rgbColor rgb="FF8064A2"/>
      <rgbColor rgb="FF969696"/>
      <rgbColor rgb="FF12233D"/>
      <rgbColor rgb="FF5B6B63"/>
      <rgbColor rgb="FF0E3B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Goals by Tournament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PivotTables!$Q$3</c:f>
              <c:strCache>
                <c:ptCount val="1"/>
                <c:pt idx="0">
                  <c:v>Total Goals</c:v>
                </c:pt>
              </c:strCache>
            </c:strRef>
          </c:tx>
          <c:spPr>
            <a:solidFill>
              <a:srgbClr val="0E3B2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PivotTables!$O$4:$O$10</c:f>
              <c:strCache>
                <c:ptCount val="7"/>
                <c:pt idx="0">
                  <c:v>First Stage</c:v>
                </c:pt>
                <c:pt idx="1">
                  <c:v>Round of 32</c:v>
                </c:pt>
                <c:pt idx="2">
                  <c:v>Round of 16</c:v>
                </c:pt>
                <c:pt idx="3">
                  <c:v>Quarter-final</c:v>
                </c:pt>
                <c:pt idx="4">
                  <c:v>Semi-final</c:v>
                </c:pt>
                <c:pt idx="5">
                  <c:v>Bronze final</c:v>
                </c:pt>
                <c:pt idx="6">
                  <c:v>Final</c:v>
                </c:pt>
              </c:strCache>
            </c:strRef>
          </c:cat>
          <c:val>
            <c:numRef>
              <c:f>PivotTables!$Q$4:$Q$10</c:f>
              <c:numCache>
                <c:formatCode>General</c:formatCode>
                <c:ptCount val="7"/>
                <c:pt idx="0">
                  <c:v>215</c:v>
                </c:pt>
                <c:pt idx="1">
                  <c:v>42</c:v>
                </c:pt>
                <c:pt idx="2">
                  <c:v>23</c:v>
                </c:pt>
                <c:pt idx="3">
                  <c:v>12</c:v>
                </c:pt>
                <c:pt idx="4">
                  <c:v>5</c:v>
                </c:pt>
                <c:pt idx="5">
                  <c:v>10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B-4831-BD35-A7CA03FE0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83602"/>
        <c:axId val="12166395"/>
      </c:barChart>
      <c:catAx>
        <c:axId val="737836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66395"/>
        <c:crosses val="autoZero"/>
        <c:auto val="1"/>
        <c:lblAlgn val="ctr"/>
        <c:lblOffset val="100"/>
        <c:noMultiLvlLbl val="0"/>
      </c:catAx>
      <c:valAx>
        <c:axId val="12166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7836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Goal Scorers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PivotTables!$T$15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rgbClr val="F2A9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PivotTables!$Q$16:$Q$25</c:f>
              <c:strCache>
                <c:ptCount val="10"/>
                <c:pt idx="0">
                  <c:v>Kylian Mbappe</c:v>
                </c:pt>
                <c:pt idx="1">
                  <c:v>Lionel Messi</c:v>
                </c:pt>
                <c:pt idx="2">
                  <c:v>Jude Bellingham</c:v>
                </c:pt>
                <c:pt idx="3">
                  <c:v>Erling Haaland</c:v>
                </c:pt>
                <c:pt idx="4">
                  <c:v>Ousmane Dembele</c:v>
                </c:pt>
                <c:pt idx="5">
                  <c:v>Harry Kane</c:v>
                </c:pt>
                <c:pt idx="6">
                  <c:v>Mikel Oyarzabal</c:v>
                </c:pt>
                <c:pt idx="7">
                  <c:v>Julian Quinones</c:v>
                </c:pt>
                <c:pt idx="8">
                  <c:v>Ismaila Sarr</c:v>
                </c:pt>
                <c:pt idx="9">
                  <c:v>Vinicius Junior</c:v>
                </c:pt>
              </c:strCache>
            </c:strRef>
          </c:cat>
          <c:val>
            <c:numRef>
              <c:f>PivotTables!$T$16:$T$25</c:f>
              <c:numCache>
                <c:formatCode>General</c:formatCode>
                <c:ptCount val="10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B-484E-AD68-CB8250C2B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66638"/>
        <c:axId val="16473122"/>
      </c:barChart>
      <c:catAx>
        <c:axId val="1186663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73122"/>
        <c:crosses val="max"/>
        <c:auto val="1"/>
        <c:lblAlgn val="ctr"/>
        <c:lblOffset val="100"/>
        <c:noMultiLvlLbl val="0"/>
      </c:catAx>
      <c:valAx>
        <c:axId val="16473122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8666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Teams by Points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PivotTables!$L$3</c:f>
              <c:strCache>
                <c:ptCount val="1"/>
                <c:pt idx="0">
                  <c:v>Pts</c:v>
                </c:pt>
              </c:strCache>
            </c:strRef>
          </c:tx>
          <c:spPr>
            <a:solidFill>
              <a:srgbClr val="0E3B2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PivotTables!$B$4:$B$13</c:f>
              <c:strCache>
                <c:ptCount val="10"/>
                <c:pt idx="0">
                  <c:v>Spain</c:v>
                </c:pt>
                <c:pt idx="1">
                  <c:v>Argentina</c:v>
                </c:pt>
                <c:pt idx="2">
                  <c:v>England</c:v>
                </c:pt>
                <c:pt idx="3">
                  <c:v>France</c:v>
                </c:pt>
                <c:pt idx="4">
                  <c:v>Mexico</c:v>
                </c:pt>
                <c:pt idx="5">
                  <c:v>Norway</c:v>
                </c:pt>
                <c:pt idx="6">
                  <c:v>Belgium</c:v>
                </c:pt>
                <c:pt idx="7">
                  <c:v>Colombia</c:v>
                </c:pt>
                <c:pt idx="8">
                  <c:v>Switzerland</c:v>
                </c:pt>
                <c:pt idx="9">
                  <c:v>Morocco</c:v>
                </c:pt>
              </c:strCache>
            </c:strRef>
          </c:cat>
          <c:val>
            <c:numRef>
              <c:f>PivotTables!$L$4:$L$13</c:f>
              <c:numCache>
                <c:formatCode>General</c:formatCode>
                <c:ptCount val="10"/>
                <c:pt idx="0">
                  <c:v>22</c:v>
                </c:pt>
                <c:pt idx="1">
                  <c:v>21</c:v>
                </c:pt>
                <c:pt idx="2">
                  <c:v>19</c:v>
                </c:pt>
                <c:pt idx="3">
                  <c:v>18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0-4632-AD85-394ED86DF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949562"/>
        <c:axId val="69618300"/>
      </c:barChart>
      <c:catAx>
        <c:axId val="7394956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618300"/>
        <c:crosses val="max"/>
        <c:auto val="1"/>
        <c:lblAlgn val="ctr"/>
        <c:lblOffset val="100"/>
        <c:noMultiLvlLbl val="0"/>
      </c:catAx>
      <c:valAx>
        <c:axId val="69618300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9495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Teams by Confederation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PivotTables!$W$24</c:f>
              <c:strCache>
                <c:ptCount val="1"/>
                <c:pt idx="0">
                  <c:v>Teams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7F0-4E43-9314-FECBC1F9A9A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7F0-4E43-9314-FECBC1F9A9A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7F0-4E43-9314-FECBC1F9A9A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7F0-4E43-9314-FECBC1F9A9A3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7F0-4E43-9314-FECBC1F9A9A3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97F0-4E43-9314-FECBC1F9A9A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7F0-4E43-9314-FECBC1F9A9A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7F0-4E43-9314-FECBC1F9A9A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7F0-4E43-9314-FECBC1F9A9A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7F0-4E43-9314-FECBC1F9A9A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7F0-4E43-9314-FECBC1F9A9A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97F0-4E43-9314-FECBC1F9A9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PivotTables!$V$25:$V$30</c:f>
              <c:strCache>
                <c:ptCount val="6"/>
                <c:pt idx="0">
                  <c:v>UEFA</c:v>
                </c:pt>
                <c:pt idx="1">
                  <c:v>CAF</c:v>
                </c:pt>
                <c:pt idx="2">
                  <c:v>AFC</c:v>
                </c:pt>
                <c:pt idx="3">
                  <c:v>CONMEBOL</c:v>
                </c:pt>
                <c:pt idx="4">
                  <c:v>CONCACAF</c:v>
                </c:pt>
                <c:pt idx="5">
                  <c:v>OFC</c:v>
                </c:pt>
              </c:strCache>
            </c:strRef>
          </c:cat>
          <c:val>
            <c:numRef>
              <c:f>PivotTables!$W$25:$W$30</c:f>
              <c:numCache>
                <c:formatCode>General</c:formatCode>
                <c:ptCount val="6"/>
                <c:pt idx="0">
                  <c:v>16</c:v>
                </c:pt>
                <c:pt idx="1">
                  <c:v>10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F0-4E43-9314-FECBC1F9A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7</xdr:col>
      <xdr:colOff>332280</xdr:colOff>
      <xdr:row>25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17</xdr:col>
      <xdr:colOff>375840</xdr:colOff>
      <xdr:row>25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7</xdr:col>
      <xdr:colOff>332280</xdr:colOff>
      <xdr:row>42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27</xdr:row>
      <xdr:rowOff>0</xdr:rowOff>
    </xdr:from>
    <xdr:to>
      <xdr:col>17</xdr:col>
      <xdr:colOff>375840</xdr:colOff>
      <xdr:row>42</xdr:row>
      <xdr:rowOff>22320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eamsTable" displayName="TeamsTable" ref="A1:F49" totalsRowShown="0">
  <autoFilter ref="A1:F49" xr:uid="{00000000-0009-0000-0100-000006000000}"/>
  <tableColumns count="6">
    <tableColumn id="1" xr3:uid="{00000000-0010-0000-0000-000001000000}" name="TeamID"/>
    <tableColumn id="2" xr3:uid="{00000000-0010-0000-0000-000002000000}" name="TeamName"/>
    <tableColumn id="3" xr3:uid="{00000000-0010-0000-0000-000003000000}" name="CountryCode"/>
    <tableColumn id="4" xr3:uid="{00000000-0010-0000-0000-000004000000}" name="Confederation"/>
    <tableColumn id="5" xr3:uid="{00000000-0010-0000-0000-000005000000}" name="GroupName"/>
    <tableColumn id="6" xr3:uid="{00000000-0010-0000-0000-000006000000}" name="HostCountr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chesTable" displayName="MatchesTable" ref="A1:Q105" totalsRowShown="0">
  <autoFilter ref="A1:Q105" xr:uid="{00000000-0009-0000-0100-000002000000}"/>
  <tableColumns count="17">
    <tableColumn id="1" xr3:uid="{00000000-0010-0000-0100-000001000000}" name="MatchID"/>
    <tableColumn id="2" xr3:uid="{00000000-0010-0000-0100-000002000000}" name="MatchDate"/>
    <tableColumn id="3" xr3:uid="{00000000-0010-0000-0100-000003000000}" name="Stage"/>
    <tableColumn id="4" xr3:uid="{00000000-0010-0000-0100-000004000000}" name="GroupName"/>
    <tableColumn id="5" xr3:uid="{00000000-0010-0000-0100-000005000000}" name="StadiumID"/>
    <tableColumn id="6" xr3:uid="{00000000-0010-0000-0100-000006000000}" name="StadiumName"/>
    <tableColumn id="7" xr3:uid="{00000000-0010-0000-0100-000007000000}" name="Team1ID"/>
    <tableColumn id="8" xr3:uid="{00000000-0010-0000-0100-000008000000}" name="Team1Name"/>
    <tableColumn id="9" xr3:uid="{00000000-0010-0000-0100-000009000000}" name="Team2ID"/>
    <tableColumn id="10" xr3:uid="{00000000-0010-0000-0100-00000A000000}" name="Team2Name"/>
    <tableColumn id="11" xr3:uid="{00000000-0010-0000-0100-00000B000000}" name="Team1Goals"/>
    <tableColumn id="12" xr3:uid="{00000000-0010-0000-0100-00000C000000}" name="Team2Goals"/>
    <tableColumn id="13" xr3:uid="{00000000-0010-0000-0100-00000D000000}" name="WinnerTeamID"/>
    <tableColumn id="14" xr3:uid="{00000000-0010-0000-0100-00000E000000}" name="WinnerName"/>
    <tableColumn id="15" xr3:uid="{00000000-0010-0000-0100-00000F000000}" name="Result"/>
    <tableColumn id="16" xr3:uid="{00000000-0010-0000-0100-000010000000}" name="TotalGoals"/>
    <tableColumn id="17" xr3:uid="{00000000-0010-0000-0100-000011000000}" name="GoalDifferenc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tchTeamStatsTable" displayName="MatchTeamStatsTable" ref="A1:W209" totalsRowShown="0">
  <autoFilter ref="A1:W209" xr:uid="{00000000-0009-0000-0100-000003000000}"/>
  <tableColumns count="23">
    <tableColumn id="1" xr3:uid="{00000000-0010-0000-0200-000001000000}" name="MatchID"/>
    <tableColumn id="2" xr3:uid="{00000000-0010-0000-0200-000002000000}" name="MatchDate"/>
    <tableColumn id="3" xr3:uid="{00000000-0010-0000-0200-000003000000}" name="Stage"/>
    <tableColumn id="4" xr3:uid="{00000000-0010-0000-0200-000004000000}" name="GroupName"/>
    <tableColumn id="5" xr3:uid="{00000000-0010-0000-0200-000005000000}" name="StadiumID"/>
    <tableColumn id="6" xr3:uid="{00000000-0010-0000-0200-000006000000}" name="TeamID"/>
    <tableColumn id="7" xr3:uid="{00000000-0010-0000-0200-000007000000}" name="TeamName"/>
    <tableColumn id="8" xr3:uid="{00000000-0010-0000-0200-000008000000}" name="OpponentTeamID"/>
    <tableColumn id="9" xr3:uid="{00000000-0010-0000-0200-000009000000}" name="OpponentName"/>
    <tableColumn id="10" xr3:uid="{00000000-0010-0000-0200-00000A000000}" name="TeamGoals"/>
    <tableColumn id="11" xr3:uid="{00000000-0010-0000-0200-00000B000000}" name="OpponentGoals"/>
    <tableColumn id="12" xr3:uid="{00000000-0010-0000-0200-00000C000000}" name="TeamResult"/>
    <tableColumn id="13" xr3:uid="{00000000-0010-0000-0200-00000D000000}" name="Shots"/>
    <tableColumn id="14" xr3:uid="{00000000-0010-0000-0200-00000E000000}" name="ShotsOnTarget"/>
    <tableColumn id="15" xr3:uid="{00000000-0010-0000-0200-00000F000000}" name="Possession"/>
    <tableColumn id="16" xr3:uid="{00000000-0010-0000-0200-000010000000}" name="Corners"/>
    <tableColumn id="17" xr3:uid="{00000000-0010-0000-0200-000011000000}" name="Fouls"/>
    <tableColumn id="18" xr3:uid="{00000000-0010-0000-0200-000012000000}" name="YellowCards"/>
    <tableColumn id="19" xr3:uid="{00000000-0010-0000-0200-000013000000}" name="RedCards"/>
    <tableColumn id="20" xr3:uid="{00000000-0010-0000-0200-000014000000}" name="Offsides"/>
    <tableColumn id="21" xr3:uid="{00000000-0010-0000-0200-000015000000}" name="GoalDifference"/>
    <tableColumn id="22" xr3:uid="{00000000-0010-0000-0200-000016000000}" name="Points"/>
    <tableColumn id="23" xr3:uid="{00000000-0010-0000-0200-000017000000}" name="CleanShee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GoalsTable" displayName="GoalsTable" ref="A1:I309" totalsRowShown="0">
  <autoFilter ref="A1:I309" xr:uid="{00000000-0009-0000-0100-000001000000}"/>
  <tableColumns count="9">
    <tableColumn id="1" xr3:uid="{00000000-0010-0000-0300-000001000000}" name="GoalID"/>
    <tableColumn id="2" xr3:uid="{00000000-0010-0000-0300-000002000000}" name="MatchID"/>
    <tableColumn id="3" xr3:uid="{00000000-0010-0000-0300-000003000000}" name="PlayerID"/>
    <tableColumn id="4" xr3:uid="{00000000-0010-0000-0300-000004000000}" name="PlayerName"/>
    <tableColumn id="5" xr3:uid="{00000000-0010-0000-0300-000005000000}" name="TeamID"/>
    <tableColumn id="6" xr3:uid="{00000000-0010-0000-0300-000006000000}" name="TeamName"/>
    <tableColumn id="7" xr3:uid="{00000000-0010-0000-0300-000007000000}" name="Minute"/>
    <tableColumn id="8" xr3:uid="{00000000-0010-0000-0300-000008000000}" name="GoalType"/>
    <tableColumn id="9" xr3:uid="{00000000-0010-0000-0300-000009000000}" name="Stag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PlayersTable" displayName="PlayersTable" ref="A1:F1249" totalsRowShown="0">
  <autoFilter ref="A1:F1249" xr:uid="{00000000-0009-0000-0100-000004000000}"/>
  <tableColumns count="6">
    <tableColumn id="1" xr3:uid="{00000000-0010-0000-0400-000001000000}" name="PlayerID"/>
    <tableColumn id="2" xr3:uid="{00000000-0010-0000-0400-000002000000}" name="PlayerName"/>
    <tableColumn id="3" xr3:uid="{00000000-0010-0000-0400-000003000000}" name="TeamID"/>
    <tableColumn id="4" xr3:uid="{00000000-0010-0000-0400-000004000000}" name="TeamName"/>
    <tableColumn id="5" xr3:uid="{00000000-0010-0000-0400-000005000000}" name="Position"/>
    <tableColumn id="6" xr3:uid="{00000000-0010-0000-0400-000006000000}" name="JerseyNumb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StadiumsTable" displayName="StadiumsTable" ref="A1:E17" totalsRowShown="0">
  <autoFilter ref="A1:E17" xr:uid="{00000000-0009-0000-0100-000005000000}"/>
  <tableColumns count="5">
    <tableColumn id="1" xr3:uid="{00000000-0010-0000-0500-000001000000}" name="StadiumID"/>
    <tableColumn id="2" xr3:uid="{00000000-0010-0000-0500-000002000000}" name="StadiumName"/>
    <tableColumn id="3" xr3:uid="{00000000-0010-0000-0500-000003000000}" name="City"/>
    <tableColumn id="4" xr3:uid="{00000000-0010-0000-0500-000004000000}" name="Country"/>
    <tableColumn id="5" xr3:uid="{00000000-0010-0000-0500-000005000000}" name="Capac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A900"/>
    <pageSetUpPr fitToPage="1"/>
  </sheetPr>
  <dimension ref="A1:N8"/>
  <sheetViews>
    <sheetView showGridLines="0" tabSelected="1" topLeftCell="A22" zoomScale="85" zoomScaleNormal="85" workbookViewId="0">
      <selection sqref="A1:N2"/>
    </sheetView>
  </sheetViews>
  <sheetFormatPr defaultColWidth="8.6640625" defaultRowHeight="14.4" x14ac:dyDescent="0.3"/>
  <cols>
    <col min="1" max="12" width="11" customWidth="1"/>
  </cols>
  <sheetData>
    <row r="1" spans="1:14" ht="21.7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5" spans="1:14" x14ac:dyDescent="0.3">
      <c r="A5" s="4">
        <f>COUNT(Teams!$A$2:$A$49)</f>
        <v>48</v>
      </c>
      <c r="B5" s="4"/>
      <c r="C5" s="4">
        <f>COUNT(Matches!$A$2:$A$105)</f>
        <v>104</v>
      </c>
      <c r="D5" s="4"/>
      <c r="E5" s="4">
        <f>SUM(Matches!$P$2:$P$105)</f>
        <v>308</v>
      </c>
      <c r="F5" s="4"/>
      <c r="G5" s="3">
        <f>SUM(Matches!$P$2:$P$105)/COUNT(Matches!$A$2:$A$105)</f>
        <v>2.9615384615384617</v>
      </c>
      <c r="H5" s="3"/>
      <c r="I5" s="2" t="str">
        <f>PivotTables!$Q$16&amp;" ("&amp;PivotTables!$T$16&amp;")"</f>
        <v>Kylian Mbappe (10)</v>
      </c>
      <c r="J5" s="2"/>
      <c r="K5" s="2" t="str">
        <f>PivotTables!$B$4&amp;" ("&amp;PivotTables!$L$4&amp;" pts)"</f>
        <v>Spain (22 pts)</v>
      </c>
      <c r="L5" s="2"/>
    </row>
    <row r="6" spans="1:14" x14ac:dyDescent="0.3">
      <c r="A6" s="4"/>
      <c r="B6" s="4"/>
      <c r="C6" s="4"/>
      <c r="D6" s="4"/>
      <c r="E6" s="4"/>
      <c r="F6" s="4"/>
      <c r="G6" s="3"/>
      <c r="H6" s="3"/>
      <c r="I6" s="2"/>
      <c r="J6" s="2"/>
      <c r="K6" s="2"/>
      <c r="L6" s="2"/>
    </row>
    <row r="7" spans="1:14" x14ac:dyDescent="0.3">
      <c r="A7" s="4"/>
      <c r="B7" s="4"/>
      <c r="C7" s="4"/>
      <c r="D7" s="4"/>
      <c r="E7" s="4"/>
      <c r="F7" s="4"/>
      <c r="G7" s="3"/>
      <c r="H7" s="3"/>
      <c r="I7" s="2"/>
      <c r="J7" s="2"/>
      <c r="K7" s="2"/>
      <c r="L7" s="2"/>
    </row>
    <row r="8" spans="1:14" x14ac:dyDescent="0.3">
      <c r="A8" s="1" t="s">
        <v>2</v>
      </c>
      <c r="B8" s="1"/>
      <c r="C8" s="1" t="s">
        <v>3</v>
      </c>
      <c r="D8" s="1"/>
      <c r="E8" s="1" t="s">
        <v>4</v>
      </c>
      <c r="F8" s="1"/>
      <c r="G8" s="1" t="s">
        <v>5</v>
      </c>
      <c r="H8" s="1"/>
      <c r="I8" s="1" t="s">
        <v>6</v>
      </c>
      <c r="J8" s="1"/>
      <c r="K8" s="1" t="s">
        <v>7</v>
      </c>
      <c r="L8" s="1"/>
    </row>
  </sheetData>
  <mergeCells count="14">
    <mergeCell ref="K8:L8"/>
    <mergeCell ref="A8:B8"/>
    <mergeCell ref="C8:D8"/>
    <mergeCell ref="E8:F8"/>
    <mergeCell ref="G8:H8"/>
    <mergeCell ref="I8:J8"/>
    <mergeCell ref="A1:N2"/>
    <mergeCell ref="A3:N3"/>
    <mergeCell ref="A5:B7"/>
    <mergeCell ref="C5:D7"/>
    <mergeCell ref="E5:F7"/>
    <mergeCell ref="G5:H7"/>
    <mergeCell ref="I5:J7"/>
    <mergeCell ref="K5:L7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1"/>
  <sheetViews>
    <sheetView showGridLines="0" zoomScaleNormal="100" workbookViewId="0"/>
  </sheetViews>
  <sheetFormatPr defaultColWidth="8.6640625" defaultRowHeight="14.4" x14ac:dyDescent="0.3"/>
  <cols>
    <col min="1" max="1" width="8" customWidth="1"/>
    <col min="2" max="2" width="18" customWidth="1"/>
    <col min="3" max="3" width="13" customWidth="1"/>
    <col min="4" max="4" width="9" customWidth="1"/>
    <col min="5" max="12" width="6.5546875" customWidth="1"/>
    <col min="13" max="13" width="8" customWidth="1"/>
    <col min="15" max="15" width="15" customWidth="1"/>
    <col min="16" max="16" width="10" customWidth="1"/>
    <col min="17" max="17" width="12" customWidth="1"/>
    <col min="18" max="18" width="15" customWidth="1"/>
    <col min="19" max="19" width="18" customWidth="1"/>
    <col min="20" max="20" width="6.5546875" customWidth="1"/>
    <col min="23" max="24" width="20" customWidth="1"/>
    <col min="25" max="25" width="12" customWidth="1"/>
    <col min="26" max="26" width="11" customWidth="1"/>
    <col min="27" max="27" width="13" customWidth="1"/>
  </cols>
  <sheetData>
    <row r="1" spans="1:27" ht="17.399999999999999" x14ac:dyDescent="0.3">
      <c r="A1" s="8" t="s">
        <v>8</v>
      </c>
      <c r="O1" s="8" t="s">
        <v>9</v>
      </c>
      <c r="V1" s="8" t="s">
        <v>10</v>
      </c>
    </row>
    <row r="2" spans="1:27" x14ac:dyDescent="0.3">
      <c r="A2" s="7" t="s">
        <v>11</v>
      </c>
      <c r="O2" s="7" t="s">
        <v>12</v>
      </c>
      <c r="V2" s="7" t="s">
        <v>13</v>
      </c>
    </row>
    <row r="3" spans="1:27" ht="26.4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26</v>
      </c>
      <c r="O3" s="9" t="s">
        <v>27</v>
      </c>
      <c r="P3" s="9" t="s">
        <v>28</v>
      </c>
      <c r="Q3" s="9" t="s">
        <v>4</v>
      </c>
      <c r="R3" s="9" t="s">
        <v>29</v>
      </c>
      <c r="V3" s="9" t="s">
        <v>30</v>
      </c>
      <c r="W3" s="9" t="s">
        <v>31</v>
      </c>
      <c r="X3" s="9" t="s">
        <v>32</v>
      </c>
      <c r="Y3" s="9" t="s">
        <v>33</v>
      </c>
      <c r="Z3" s="9" t="s">
        <v>4</v>
      </c>
      <c r="AA3" s="9" t="s">
        <v>29</v>
      </c>
    </row>
    <row r="4" spans="1:27" x14ac:dyDescent="0.3">
      <c r="A4" s="10">
        <v>10</v>
      </c>
      <c r="B4" s="10" t="str">
        <f>IFERROR(INDEX(Teams!$B$2:$B$49,MATCH($A4,Teams!$A$2:$A$49,0)),"")</f>
        <v>Spain</v>
      </c>
      <c r="C4" s="10" t="str">
        <f>IFERROR(INDEX(Teams!$D$2:$D$49,MATCH($A4,Teams!$A$2:$A$49,0)),"")</f>
        <v>UEFA</v>
      </c>
      <c r="D4" s="10" t="str">
        <f>IFERROR(INDEX(Teams!$E$2:$E$49,MATCH($A4,Teams!$A$2:$A$49,0)),"")</f>
        <v>Group H</v>
      </c>
      <c r="E4" s="10">
        <f>COUNTIF(MatchTeamStats!$F$2:$F$209,$A4)</f>
        <v>8</v>
      </c>
      <c r="F4" s="10">
        <f>COUNTIFS(MatchTeamStats!$F$2:$F$209,$A4,MatchTeamStats!$L$2:$L$209,"Win")</f>
        <v>7</v>
      </c>
      <c r="G4" s="10">
        <f>COUNTIFS(MatchTeamStats!$F$2:$F$209,$A4,MatchTeamStats!$L$2:$L$209,"Draw")</f>
        <v>1</v>
      </c>
      <c r="H4" s="10">
        <f>COUNTIFS(MatchTeamStats!$F$2:$F$209,$A4,MatchTeamStats!$L$2:$L$209,"Loss")</f>
        <v>0</v>
      </c>
      <c r="I4" s="10">
        <f>SUMIFS(MatchTeamStats!$J$2:$J$209,MatchTeamStats!$F$2:$F$209,$A4)</f>
        <v>14</v>
      </c>
      <c r="J4" s="10">
        <f>SUMIFS(MatchTeamStats!$K$2:$K$209,MatchTeamStats!$F$2:$F$209,$A4)</f>
        <v>1</v>
      </c>
      <c r="K4" s="10">
        <f t="shared" ref="K4:K51" si="0">I4-J4</f>
        <v>13</v>
      </c>
      <c r="L4" s="10">
        <f>SUMIFS(MatchTeamStats!$V$2:$V$209,MatchTeamStats!$F$2:$F$209,$A4)</f>
        <v>22</v>
      </c>
      <c r="M4" s="11">
        <f t="shared" ref="M4:M51" si="1">IFERROR(F4/E4,0)</f>
        <v>0.875</v>
      </c>
      <c r="O4" s="10" t="s">
        <v>34</v>
      </c>
      <c r="P4" s="10">
        <f>COUNTIF(Matches!$C$2:$C$105,$O4)</f>
        <v>72</v>
      </c>
      <c r="Q4" s="10">
        <f>SUMIFS(Matches!$P$2:$P$105,Matches!$C$2:$C$105,$O4)</f>
        <v>215</v>
      </c>
      <c r="R4" s="12">
        <f t="shared" ref="R4:R10" si="2">IFERROR(Q4/P4,0)</f>
        <v>2.9861111111111112</v>
      </c>
      <c r="V4" s="10">
        <v>6</v>
      </c>
      <c r="W4" s="10" t="str">
        <f>IFERROR(INDEX(Stadiums!$B$2:$B$17,MATCH($V4,Stadiums!$A$2:$A$17,0)),"")</f>
        <v>Atlanta Stadium</v>
      </c>
      <c r="X4" s="10" t="str">
        <f>IFERROR(INDEX(Stadiums!$C$2:$C$17,MATCH($V4,Stadiums!$A$2:$A$17,0)),"")</f>
        <v>Atlanta, Georgia</v>
      </c>
      <c r="Y4" s="10">
        <f>COUNTIF(Matches!$E$2:$E$105,$V4)</f>
        <v>8</v>
      </c>
      <c r="Z4" s="10">
        <f>SUMIFS(Matches!$P$2:$P$105,Matches!$E$2:$E$105,$V4)</f>
        <v>27</v>
      </c>
      <c r="AA4" s="12">
        <f t="shared" ref="AA4:AA19" si="3">IFERROR(Z4/Y4,0)</f>
        <v>3.375</v>
      </c>
    </row>
    <row r="5" spans="1:27" x14ac:dyDescent="0.3">
      <c r="A5" s="10">
        <v>1</v>
      </c>
      <c r="B5" s="10" t="str">
        <f>IFERROR(INDEX(Teams!$B$2:$B$49,MATCH($A5,Teams!$A$2:$A$49,0)),"")</f>
        <v>Argentina</v>
      </c>
      <c r="C5" s="10" t="str">
        <f>IFERROR(INDEX(Teams!$D$2:$D$49,MATCH($A5,Teams!$A$2:$A$49,0)),"")</f>
        <v>CONMEBOL</v>
      </c>
      <c r="D5" s="10" t="str">
        <f>IFERROR(INDEX(Teams!$E$2:$E$49,MATCH($A5,Teams!$A$2:$A$49,0)),"")</f>
        <v>Group J</v>
      </c>
      <c r="E5" s="10">
        <f>COUNTIF(MatchTeamStats!$F$2:$F$209,$A5)</f>
        <v>8</v>
      </c>
      <c r="F5" s="10">
        <f>COUNTIFS(MatchTeamStats!$F$2:$F$209,$A5,MatchTeamStats!$L$2:$L$209,"Win")</f>
        <v>7</v>
      </c>
      <c r="G5" s="10">
        <f>COUNTIFS(MatchTeamStats!$F$2:$F$209,$A5,MatchTeamStats!$L$2:$L$209,"Draw")</f>
        <v>0</v>
      </c>
      <c r="H5" s="10">
        <f>COUNTIFS(MatchTeamStats!$F$2:$F$209,$A5,MatchTeamStats!$L$2:$L$209,"Loss")</f>
        <v>1</v>
      </c>
      <c r="I5" s="10">
        <f>SUMIFS(MatchTeamStats!$J$2:$J$209,MatchTeamStats!$F$2:$F$209,$A5)</f>
        <v>19</v>
      </c>
      <c r="J5" s="10">
        <f>SUMIFS(MatchTeamStats!$K$2:$K$209,MatchTeamStats!$F$2:$F$209,$A5)</f>
        <v>8</v>
      </c>
      <c r="K5" s="10">
        <f t="shared" si="0"/>
        <v>11</v>
      </c>
      <c r="L5" s="10">
        <f>SUMIFS(MatchTeamStats!$V$2:$V$209,MatchTeamStats!$F$2:$F$209,$A5)</f>
        <v>21</v>
      </c>
      <c r="M5" s="11">
        <f t="shared" si="1"/>
        <v>0.875</v>
      </c>
      <c r="O5" s="10" t="s">
        <v>35</v>
      </c>
      <c r="P5" s="10">
        <f>COUNTIF(Matches!$C$2:$C$105,$O5)</f>
        <v>16</v>
      </c>
      <c r="Q5" s="10">
        <f>SUMIFS(Matches!$P$2:$P$105,Matches!$C$2:$C$105,$O5)</f>
        <v>42</v>
      </c>
      <c r="R5" s="12">
        <f t="shared" si="2"/>
        <v>2.625</v>
      </c>
      <c r="V5" s="10">
        <v>9</v>
      </c>
      <c r="W5" s="10" t="str">
        <f>IFERROR(INDEX(Stadiums!$B$2:$B$17,MATCH($V5,Stadiums!$A$2:$A$17,0)),"")</f>
        <v>Houston Stadium</v>
      </c>
      <c r="X5" s="10" t="str">
        <f>IFERROR(INDEX(Stadiums!$C$2:$C$17,MATCH($V5,Stadiums!$A$2:$A$17,0)),"")</f>
        <v>Houston, Texas</v>
      </c>
      <c r="Y5" s="10">
        <f>COUNTIF(Matches!$E$2:$E$105,$V5)</f>
        <v>7</v>
      </c>
      <c r="Z5" s="10">
        <f>SUMIFS(Matches!$P$2:$P$105,Matches!$E$2:$E$105,$V5)</f>
        <v>27</v>
      </c>
      <c r="AA5" s="12">
        <f t="shared" si="3"/>
        <v>3.8571428571428572</v>
      </c>
    </row>
    <row r="6" spans="1:27" x14ac:dyDescent="0.3">
      <c r="A6" s="10">
        <v>5</v>
      </c>
      <c r="B6" s="10" t="str">
        <f>IFERROR(INDEX(Teams!$B$2:$B$49,MATCH($A6,Teams!$A$2:$A$49,0)),"")</f>
        <v>England</v>
      </c>
      <c r="C6" s="10" t="str">
        <f>IFERROR(INDEX(Teams!$D$2:$D$49,MATCH($A6,Teams!$A$2:$A$49,0)),"")</f>
        <v>UEFA</v>
      </c>
      <c r="D6" s="10" t="str">
        <f>IFERROR(INDEX(Teams!$E$2:$E$49,MATCH($A6,Teams!$A$2:$A$49,0)),"")</f>
        <v>Group L</v>
      </c>
      <c r="E6" s="10">
        <f>COUNTIF(MatchTeamStats!$F$2:$F$209,$A6)</f>
        <v>8</v>
      </c>
      <c r="F6" s="10">
        <f>COUNTIFS(MatchTeamStats!$F$2:$F$209,$A6,MatchTeamStats!$L$2:$L$209,"Win")</f>
        <v>6</v>
      </c>
      <c r="G6" s="10">
        <f>COUNTIFS(MatchTeamStats!$F$2:$F$209,$A6,MatchTeamStats!$L$2:$L$209,"Draw")</f>
        <v>1</v>
      </c>
      <c r="H6" s="10">
        <f>COUNTIFS(MatchTeamStats!$F$2:$F$209,$A6,MatchTeamStats!$L$2:$L$209,"Loss")</f>
        <v>1</v>
      </c>
      <c r="I6" s="10">
        <f>SUMIFS(MatchTeamStats!$J$2:$J$209,MatchTeamStats!$F$2:$F$209,$A6)</f>
        <v>20</v>
      </c>
      <c r="J6" s="10">
        <f>SUMIFS(MatchTeamStats!$K$2:$K$209,MatchTeamStats!$F$2:$F$209,$A6)</f>
        <v>12</v>
      </c>
      <c r="K6" s="10">
        <f t="shared" si="0"/>
        <v>8</v>
      </c>
      <c r="L6" s="10">
        <f>SUMIFS(MatchTeamStats!$V$2:$V$209,MatchTeamStats!$F$2:$F$209,$A6)</f>
        <v>19</v>
      </c>
      <c r="M6" s="11">
        <f t="shared" si="1"/>
        <v>0.75</v>
      </c>
      <c r="O6" s="10" t="s">
        <v>36</v>
      </c>
      <c r="P6" s="10">
        <f>COUNTIF(Matches!$C$2:$C$105,$O6)</f>
        <v>8</v>
      </c>
      <c r="Q6" s="10">
        <f>SUMIFS(Matches!$P$2:$P$105,Matches!$C$2:$C$105,$O6)</f>
        <v>23</v>
      </c>
      <c r="R6" s="12">
        <f t="shared" si="2"/>
        <v>2.875</v>
      </c>
      <c r="V6" s="10">
        <v>12</v>
      </c>
      <c r="W6" s="10" t="str">
        <f>IFERROR(INDEX(Stadiums!$B$2:$B$17,MATCH($V6,Stadiums!$A$2:$A$17,0)),"")</f>
        <v>Miami Stadium</v>
      </c>
      <c r="X6" s="10" t="str">
        <f>IFERROR(INDEX(Stadiums!$C$2:$C$17,MATCH($V6,Stadiums!$A$2:$A$17,0)),"")</f>
        <v>Miami Gardens, Florida</v>
      </c>
      <c r="Y6" s="10">
        <f>COUNTIF(Matches!$E$2:$E$105,$V6)</f>
        <v>7</v>
      </c>
      <c r="Z6" s="10">
        <f>SUMIFS(Matches!$P$2:$P$105,Matches!$E$2:$E$105,$V6)</f>
        <v>27</v>
      </c>
      <c r="AA6" s="12">
        <f t="shared" si="3"/>
        <v>3.8571428571428572</v>
      </c>
    </row>
    <row r="7" spans="1:27" x14ac:dyDescent="0.3">
      <c r="A7" s="10">
        <v>6</v>
      </c>
      <c r="B7" s="10" t="str">
        <f>IFERROR(INDEX(Teams!$B$2:$B$49,MATCH($A7,Teams!$A$2:$A$49,0)),"")</f>
        <v>France</v>
      </c>
      <c r="C7" s="10" t="str">
        <f>IFERROR(INDEX(Teams!$D$2:$D$49,MATCH($A7,Teams!$A$2:$A$49,0)),"")</f>
        <v>UEFA</v>
      </c>
      <c r="D7" s="10" t="str">
        <f>IFERROR(INDEX(Teams!$E$2:$E$49,MATCH($A7,Teams!$A$2:$A$49,0)),"")</f>
        <v>Group I</v>
      </c>
      <c r="E7" s="10">
        <f>COUNTIF(MatchTeamStats!$F$2:$F$209,$A7)</f>
        <v>8</v>
      </c>
      <c r="F7" s="10">
        <f>COUNTIFS(MatchTeamStats!$F$2:$F$209,$A7,MatchTeamStats!$L$2:$L$209,"Win")</f>
        <v>6</v>
      </c>
      <c r="G7" s="10">
        <f>COUNTIFS(MatchTeamStats!$F$2:$F$209,$A7,MatchTeamStats!$L$2:$L$209,"Draw")</f>
        <v>0</v>
      </c>
      <c r="H7" s="10">
        <f>COUNTIFS(MatchTeamStats!$F$2:$F$209,$A7,MatchTeamStats!$L$2:$L$209,"Loss")</f>
        <v>2</v>
      </c>
      <c r="I7" s="10">
        <f>SUMIFS(MatchTeamStats!$J$2:$J$209,MatchTeamStats!$F$2:$F$209,$A7)</f>
        <v>20</v>
      </c>
      <c r="J7" s="10">
        <f>SUMIFS(MatchTeamStats!$K$2:$K$209,MatchTeamStats!$F$2:$F$209,$A7)</f>
        <v>10</v>
      </c>
      <c r="K7" s="10">
        <f t="shared" si="0"/>
        <v>10</v>
      </c>
      <c r="L7" s="10">
        <f>SUMIFS(MatchTeamStats!$V$2:$V$209,MatchTeamStats!$F$2:$F$209,$A7)</f>
        <v>18</v>
      </c>
      <c r="M7" s="11">
        <f t="shared" si="1"/>
        <v>0.75</v>
      </c>
      <c r="O7" s="10" t="s">
        <v>37</v>
      </c>
      <c r="P7" s="10">
        <f>COUNTIF(Matches!$C$2:$C$105,$O7)</f>
        <v>4</v>
      </c>
      <c r="Q7" s="10">
        <f>SUMIFS(Matches!$P$2:$P$105,Matches!$C$2:$C$105,$O7)</f>
        <v>12</v>
      </c>
      <c r="R7" s="12">
        <f t="shared" si="2"/>
        <v>3</v>
      </c>
      <c r="V7" s="10">
        <v>8</v>
      </c>
      <c r="W7" s="10" t="str">
        <f>IFERROR(INDEX(Stadiums!$B$2:$B$17,MATCH($V7,Stadiums!$A$2:$A$17,0)),"")</f>
        <v>Dallas Stadium</v>
      </c>
      <c r="X7" s="10" t="str">
        <f>IFERROR(INDEX(Stadiums!$C$2:$C$17,MATCH($V7,Stadiums!$A$2:$A$17,0)),"")</f>
        <v>Arlington, Texas</v>
      </c>
      <c r="Y7" s="10">
        <f>COUNTIF(Matches!$E$2:$E$105,$V7)</f>
        <v>9</v>
      </c>
      <c r="Z7" s="10">
        <f>SUMIFS(Matches!$P$2:$P$105,Matches!$E$2:$E$105,$V7)</f>
        <v>26</v>
      </c>
      <c r="AA7" s="12">
        <f t="shared" si="3"/>
        <v>2.8888888888888888</v>
      </c>
    </row>
    <row r="8" spans="1:27" x14ac:dyDescent="0.3">
      <c r="A8" s="10">
        <v>8</v>
      </c>
      <c r="B8" s="10" t="str">
        <f>IFERROR(INDEX(Teams!$B$2:$B$49,MATCH($A8,Teams!$A$2:$A$49,0)),"")</f>
        <v>Mexico</v>
      </c>
      <c r="C8" s="10" t="str">
        <f>IFERROR(INDEX(Teams!$D$2:$D$49,MATCH($A8,Teams!$A$2:$A$49,0)),"")</f>
        <v>CONCACAF</v>
      </c>
      <c r="D8" s="10" t="str">
        <f>IFERROR(INDEX(Teams!$E$2:$E$49,MATCH($A8,Teams!$A$2:$A$49,0)),"")</f>
        <v>Group A</v>
      </c>
      <c r="E8" s="10">
        <f>COUNTIF(MatchTeamStats!$F$2:$F$209,$A8)</f>
        <v>5</v>
      </c>
      <c r="F8" s="10">
        <f>COUNTIFS(MatchTeamStats!$F$2:$F$209,$A8,MatchTeamStats!$L$2:$L$209,"Win")</f>
        <v>4</v>
      </c>
      <c r="G8" s="10">
        <f>COUNTIFS(MatchTeamStats!$F$2:$F$209,$A8,MatchTeamStats!$L$2:$L$209,"Draw")</f>
        <v>0</v>
      </c>
      <c r="H8" s="10">
        <f>COUNTIFS(MatchTeamStats!$F$2:$F$209,$A8,MatchTeamStats!$L$2:$L$209,"Loss")</f>
        <v>1</v>
      </c>
      <c r="I8" s="10">
        <f>SUMIFS(MatchTeamStats!$J$2:$J$209,MatchTeamStats!$F$2:$F$209,$A8)</f>
        <v>10</v>
      </c>
      <c r="J8" s="10">
        <f>SUMIFS(MatchTeamStats!$K$2:$K$209,MatchTeamStats!$F$2:$F$209,$A8)</f>
        <v>3</v>
      </c>
      <c r="K8" s="10">
        <f t="shared" si="0"/>
        <v>7</v>
      </c>
      <c r="L8" s="10">
        <f>SUMIFS(MatchTeamStats!$V$2:$V$209,MatchTeamStats!$F$2:$F$209,$A8)</f>
        <v>12</v>
      </c>
      <c r="M8" s="11">
        <f t="shared" si="1"/>
        <v>0.8</v>
      </c>
      <c r="O8" s="10" t="s">
        <v>38</v>
      </c>
      <c r="P8" s="10">
        <f>COUNTIF(Matches!$C$2:$C$105,$O8)</f>
        <v>2</v>
      </c>
      <c r="Q8" s="10">
        <f>SUMIFS(Matches!$P$2:$P$105,Matches!$C$2:$C$105,$O8)</f>
        <v>5</v>
      </c>
      <c r="R8" s="12">
        <f t="shared" si="2"/>
        <v>2.5</v>
      </c>
      <c r="V8" s="10">
        <v>11</v>
      </c>
      <c r="W8" s="10" t="str">
        <f>IFERROR(INDEX(Stadiums!$B$2:$B$17,MATCH($V8,Stadiums!$A$2:$A$17,0)),"")</f>
        <v>Los Angeles Stadium</v>
      </c>
      <c r="X8" s="10" t="str">
        <f>IFERROR(INDEX(Stadiums!$C$2:$C$17,MATCH($V8,Stadiums!$A$2:$A$17,0)),"")</f>
        <v>Inglewood, California</v>
      </c>
      <c r="Y8" s="10">
        <f>COUNTIF(Matches!$E$2:$E$105,$V8)</f>
        <v>8</v>
      </c>
      <c r="Z8" s="10">
        <f>SUMIFS(Matches!$P$2:$P$105,Matches!$E$2:$E$105,$V8)</f>
        <v>26</v>
      </c>
      <c r="AA8" s="12">
        <f t="shared" si="3"/>
        <v>3.25</v>
      </c>
    </row>
    <row r="9" spans="1:27" x14ac:dyDescent="0.3">
      <c r="A9" s="10">
        <v>22</v>
      </c>
      <c r="B9" s="10" t="str">
        <f>IFERROR(INDEX(Teams!$B$2:$B$49,MATCH($A9,Teams!$A$2:$A$49,0)),"")</f>
        <v>Norway</v>
      </c>
      <c r="C9" s="10" t="str">
        <f>IFERROR(INDEX(Teams!$D$2:$D$49,MATCH($A9,Teams!$A$2:$A$49,0)),"")</f>
        <v>UEFA</v>
      </c>
      <c r="D9" s="10" t="str">
        <f>IFERROR(INDEX(Teams!$E$2:$E$49,MATCH($A9,Teams!$A$2:$A$49,0)),"")</f>
        <v>Group I</v>
      </c>
      <c r="E9" s="10">
        <f>COUNTIF(MatchTeamStats!$F$2:$F$209,$A9)</f>
        <v>6</v>
      </c>
      <c r="F9" s="10">
        <f>COUNTIFS(MatchTeamStats!$F$2:$F$209,$A9,MatchTeamStats!$L$2:$L$209,"Win")</f>
        <v>4</v>
      </c>
      <c r="G9" s="10">
        <f>COUNTIFS(MatchTeamStats!$F$2:$F$209,$A9,MatchTeamStats!$L$2:$L$209,"Draw")</f>
        <v>0</v>
      </c>
      <c r="H9" s="10">
        <f>COUNTIFS(MatchTeamStats!$F$2:$F$209,$A9,MatchTeamStats!$L$2:$L$209,"Loss")</f>
        <v>2</v>
      </c>
      <c r="I9" s="10">
        <f>SUMIFS(MatchTeamStats!$J$2:$J$209,MatchTeamStats!$F$2:$F$209,$A9)</f>
        <v>13</v>
      </c>
      <c r="J9" s="10">
        <f>SUMIFS(MatchTeamStats!$K$2:$K$209,MatchTeamStats!$F$2:$F$209,$A9)</f>
        <v>11</v>
      </c>
      <c r="K9" s="10">
        <f t="shared" si="0"/>
        <v>2</v>
      </c>
      <c r="L9" s="10">
        <f>SUMIFS(MatchTeamStats!$V$2:$V$209,MatchTeamStats!$F$2:$F$209,$A9)</f>
        <v>12</v>
      </c>
      <c r="M9" s="11">
        <f t="shared" si="1"/>
        <v>0.66666666666666663</v>
      </c>
      <c r="O9" s="10" t="s">
        <v>39</v>
      </c>
      <c r="P9" s="10">
        <f>COUNTIF(Matches!$C$2:$C$105,$O9)</f>
        <v>1</v>
      </c>
      <c r="Q9" s="10">
        <f>SUMIFS(Matches!$P$2:$P$105,Matches!$C$2:$C$105,$O9)</f>
        <v>10</v>
      </c>
      <c r="R9" s="12">
        <f t="shared" si="2"/>
        <v>10</v>
      </c>
      <c r="V9" s="10">
        <v>13</v>
      </c>
      <c r="W9" s="10" t="str">
        <f>IFERROR(INDEX(Stadiums!$B$2:$B$17,MATCH($V9,Stadiums!$A$2:$A$17,0)),"")</f>
        <v>New York New Jersey Stadium</v>
      </c>
      <c r="X9" s="10" t="str">
        <f>IFERROR(INDEX(Stadiums!$C$2:$C$17,MATCH($V9,Stadiums!$A$2:$A$17,0)),"")</f>
        <v>East Rutherford, New Jersey</v>
      </c>
      <c r="Y9" s="10">
        <f>COUNTIF(Matches!$E$2:$E$105,$V9)</f>
        <v>8</v>
      </c>
      <c r="Z9" s="10">
        <f>SUMIFS(Matches!$P$2:$P$105,Matches!$E$2:$E$105,$V9)</f>
        <v>23</v>
      </c>
      <c r="AA9" s="12">
        <f t="shared" si="3"/>
        <v>2.875</v>
      </c>
    </row>
    <row r="10" spans="1:27" x14ac:dyDescent="0.3">
      <c r="A10" s="10">
        <v>2</v>
      </c>
      <c r="B10" s="10" t="str">
        <f>IFERROR(INDEX(Teams!$B$2:$B$49,MATCH($A10,Teams!$A$2:$A$49,0)),"")</f>
        <v>Belgium</v>
      </c>
      <c r="C10" s="10" t="str">
        <f>IFERROR(INDEX(Teams!$D$2:$D$49,MATCH($A10,Teams!$A$2:$A$49,0)),"")</f>
        <v>UEFA</v>
      </c>
      <c r="D10" s="10" t="str">
        <f>IFERROR(INDEX(Teams!$E$2:$E$49,MATCH($A10,Teams!$A$2:$A$49,0)),"")</f>
        <v>Group G</v>
      </c>
      <c r="E10" s="10">
        <f>COUNTIF(MatchTeamStats!$F$2:$F$209,$A10)</f>
        <v>6</v>
      </c>
      <c r="F10" s="10">
        <f>COUNTIFS(MatchTeamStats!$F$2:$F$209,$A10,MatchTeamStats!$L$2:$L$209,"Win")</f>
        <v>3</v>
      </c>
      <c r="G10" s="10">
        <f>COUNTIFS(MatchTeamStats!$F$2:$F$209,$A10,MatchTeamStats!$L$2:$L$209,"Draw")</f>
        <v>2</v>
      </c>
      <c r="H10" s="10">
        <f>COUNTIFS(MatchTeamStats!$F$2:$F$209,$A10,MatchTeamStats!$L$2:$L$209,"Loss")</f>
        <v>1</v>
      </c>
      <c r="I10" s="10">
        <f>SUMIFS(MatchTeamStats!$J$2:$J$209,MatchTeamStats!$F$2:$F$209,$A10)</f>
        <v>14</v>
      </c>
      <c r="J10" s="10">
        <f>SUMIFS(MatchTeamStats!$K$2:$K$209,MatchTeamStats!$F$2:$F$209,$A10)</f>
        <v>7</v>
      </c>
      <c r="K10" s="10">
        <f t="shared" si="0"/>
        <v>7</v>
      </c>
      <c r="L10" s="10">
        <f>SUMIFS(MatchTeamStats!$V$2:$V$209,MatchTeamStats!$F$2:$F$209,$A10)</f>
        <v>11</v>
      </c>
      <c r="M10" s="11">
        <f t="shared" si="1"/>
        <v>0.5</v>
      </c>
      <c r="O10" s="10" t="s">
        <v>40</v>
      </c>
      <c r="P10" s="10">
        <f>COUNTIF(Matches!$C$2:$C$105,$O10)</f>
        <v>1</v>
      </c>
      <c r="Q10" s="10">
        <f>SUMIFS(Matches!$P$2:$P$105,Matches!$C$2:$C$105,$O10)</f>
        <v>1</v>
      </c>
      <c r="R10" s="12">
        <f t="shared" si="2"/>
        <v>1</v>
      </c>
      <c r="V10" s="10">
        <v>2</v>
      </c>
      <c r="W10" s="10" t="str">
        <f>IFERROR(INDEX(Stadiums!$B$2:$B$17,MATCH($V10,Stadiums!$A$2:$A$17,0)),"")</f>
        <v>BC Place Vancouver</v>
      </c>
      <c r="X10" s="10" t="str">
        <f>IFERROR(INDEX(Stadiums!$C$2:$C$17,MATCH($V10,Stadiums!$A$2:$A$17,0)),"")</f>
        <v>Vancouver, British Colombia</v>
      </c>
      <c r="Y10" s="10">
        <f>COUNTIF(Matches!$E$2:$E$105,$V10)</f>
        <v>7</v>
      </c>
      <c r="Z10" s="10">
        <f>SUMIFS(Matches!$P$2:$P$105,Matches!$E$2:$E$105,$V10)</f>
        <v>23</v>
      </c>
      <c r="AA10" s="12">
        <f t="shared" si="3"/>
        <v>3.2857142857142856</v>
      </c>
    </row>
    <row r="11" spans="1:27" x14ac:dyDescent="0.3">
      <c r="A11" s="10">
        <v>4</v>
      </c>
      <c r="B11" s="10" t="str">
        <f>IFERROR(INDEX(Teams!$B$2:$B$49,MATCH($A11,Teams!$A$2:$A$49,0)),"")</f>
        <v>Colombia</v>
      </c>
      <c r="C11" s="10" t="str">
        <f>IFERROR(INDEX(Teams!$D$2:$D$49,MATCH($A11,Teams!$A$2:$A$49,0)),"")</f>
        <v>CONMEBOL</v>
      </c>
      <c r="D11" s="10" t="str">
        <f>IFERROR(INDEX(Teams!$E$2:$E$49,MATCH($A11,Teams!$A$2:$A$49,0)),"")</f>
        <v>Group K</v>
      </c>
      <c r="E11" s="10">
        <f>COUNTIF(MatchTeamStats!$F$2:$F$209,$A11)</f>
        <v>5</v>
      </c>
      <c r="F11" s="10">
        <f>COUNTIFS(MatchTeamStats!$F$2:$F$209,$A11,MatchTeamStats!$L$2:$L$209,"Win")</f>
        <v>3</v>
      </c>
      <c r="G11" s="10">
        <f>COUNTIFS(MatchTeamStats!$F$2:$F$209,$A11,MatchTeamStats!$L$2:$L$209,"Draw")</f>
        <v>2</v>
      </c>
      <c r="H11" s="10">
        <f>COUNTIFS(MatchTeamStats!$F$2:$F$209,$A11,MatchTeamStats!$L$2:$L$209,"Loss")</f>
        <v>0</v>
      </c>
      <c r="I11" s="10">
        <f>SUMIFS(MatchTeamStats!$J$2:$J$209,MatchTeamStats!$F$2:$F$209,$A11)</f>
        <v>5</v>
      </c>
      <c r="J11" s="10">
        <f>SUMIFS(MatchTeamStats!$K$2:$K$209,MatchTeamStats!$F$2:$F$209,$A11)</f>
        <v>1</v>
      </c>
      <c r="K11" s="10">
        <f t="shared" si="0"/>
        <v>4</v>
      </c>
      <c r="L11" s="10">
        <f>SUMIFS(MatchTeamStats!$V$2:$V$209,MatchTeamStats!$F$2:$F$209,$A11)</f>
        <v>11</v>
      </c>
      <c r="M11" s="11">
        <f t="shared" si="1"/>
        <v>0.6</v>
      </c>
      <c r="V11" s="10">
        <v>16</v>
      </c>
      <c r="W11" s="10" t="str">
        <f>IFERROR(INDEX(Stadiums!$B$2:$B$17,MATCH($V11,Stadiums!$A$2:$A$17,0)),"")</f>
        <v>Seattle Stadium</v>
      </c>
      <c r="X11" s="10" t="str">
        <f>IFERROR(INDEX(Stadiums!$C$2:$C$17,MATCH($V11,Stadiums!$A$2:$A$17,0)),"")</f>
        <v>Seattle, Washington</v>
      </c>
      <c r="Y11" s="10">
        <f>COUNTIF(Matches!$E$2:$E$105,$V11)</f>
        <v>6</v>
      </c>
      <c r="Z11" s="10">
        <f>SUMIFS(Matches!$P$2:$P$105,Matches!$E$2:$E$105,$V11)</f>
        <v>20</v>
      </c>
      <c r="AA11" s="12">
        <f t="shared" si="3"/>
        <v>3.3333333333333335</v>
      </c>
    </row>
    <row r="12" spans="1:27" x14ac:dyDescent="0.3">
      <c r="A12" s="10">
        <v>11</v>
      </c>
      <c r="B12" s="10" t="str">
        <f>IFERROR(INDEX(Teams!$B$2:$B$49,MATCH($A12,Teams!$A$2:$A$49,0)),"")</f>
        <v>Switzerland</v>
      </c>
      <c r="C12" s="10" t="str">
        <f>IFERROR(INDEX(Teams!$D$2:$D$49,MATCH($A12,Teams!$A$2:$A$49,0)),"")</f>
        <v>UEFA</v>
      </c>
      <c r="D12" s="10" t="str">
        <f>IFERROR(INDEX(Teams!$E$2:$E$49,MATCH($A12,Teams!$A$2:$A$49,0)),"")</f>
        <v>Group B</v>
      </c>
      <c r="E12" s="10">
        <f>COUNTIF(MatchTeamStats!$F$2:$F$209,$A12)</f>
        <v>6</v>
      </c>
      <c r="F12" s="10">
        <f>COUNTIFS(MatchTeamStats!$F$2:$F$209,$A12,MatchTeamStats!$L$2:$L$209,"Win")</f>
        <v>3</v>
      </c>
      <c r="G12" s="10">
        <f>COUNTIFS(MatchTeamStats!$F$2:$F$209,$A12,MatchTeamStats!$L$2:$L$209,"Draw")</f>
        <v>2</v>
      </c>
      <c r="H12" s="10">
        <f>COUNTIFS(MatchTeamStats!$F$2:$F$209,$A12,MatchTeamStats!$L$2:$L$209,"Loss")</f>
        <v>1</v>
      </c>
      <c r="I12" s="10">
        <f>SUMIFS(MatchTeamStats!$J$2:$J$209,MatchTeamStats!$F$2:$F$209,$A12)</f>
        <v>10</v>
      </c>
      <c r="J12" s="10">
        <f>SUMIFS(MatchTeamStats!$K$2:$K$209,MatchTeamStats!$F$2:$F$209,$A12)</f>
        <v>6</v>
      </c>
      <c r="K12" s="10">
        <f t="shared" si="0"/>
        <v>4</v>
      </c>
      <c r="L12" s="10">
        <f>SUMIFS(MatchTeamStats!$V$2:$V$209,MatchTeamStats!$F$2:$F$209,$A12)</f>
        <v>11</v>
      </c>
      <c r="M12" s="11">
        <f t="shared" si="1"/>
        <v>0.5</v>
      </c>
      <c r="V12" s="10">
        <v>10</v>
      </c>
      <c r="W12" s="10" t="str">
        <f>IFERROR(INDEX(Stadiums!$B$2:$B$17,MATCH($V12,Stadiums!$A$2:$A$17,0)),"")</f>
        <v>Kansas City Stadium</v>
      </c>
      <c r="X12" s="10" t="str">
        <f>IFERROR(INDEX(Stadiums!$C$2:$C$17,MATCH($V12,Stadiums!$A$2:$A$17,0)),"")</f>
        <v>Kansas City, Missouri</v>
      </c>
      <c r="Y12" s="10">
        <f>COUNTIF(Matches!$E$2:$E$105,$V12)</f>
        <v>6</v>
      </c>
      <c r="Z12" s="10">
        <f>SUMIFS(Matches!$P$2:$P$105,Matches!$E$2:$E$105,$V12)</f>
        <v>18</v>
      </c>
      <c r="AA12" s="12">
        <f t="shared" si="3"/>
        <v>3</v>
      </c>
    </row>
    <row r="13" spans="1:27" ht="17.399999999999999" x14ac:dyDescent="0.3">
      <c r="A13" s="10">
        <v>21</v>
      </c>
      <c r="B13" s="10" t="str">
        <f>IFERROR(INDEX(Teams!$B$2:$B$49,MATCH($A13,Teams!$A$2:$A$49,0)),"")</f>
        <v>Morocco</v>
      </c>
      <c r="C13" s="10" t="str">
        <f>IFERROR(INDEX(Teams!$D$2:$D$49,MATCH($A13,Teams!$A$2:$A$49,0)),"")</f>
        <v>CAF</v>
      </c>
      <c r="D13" s="10" t="str">
        <f>IFERROR(INDEX(Teams!$E$2:$E$49,MATCH($A13,Teams!$A$2:$A$49,0)),"")</f>
        <v>Group C</v>
      </c>
      <c r="E13" s="10">
        <f>COUNTIF(MatchTeamStats!$F$2:$F$209,$A13)</f>
        <v>6</v>
      </c>
      <c r="F13" s="10">
        <f>COUNTIFS(MatchTeamStats!$F$2:$F$209,$A13,MatchTeamStats!$L$2:$L$209,"Win")</f>
        <v>3</v>
      </c>
      <c r="G13" s="10">
        <f>COUNTIFS(MatchTeamStats!$F$2:$F$209,$A13,MatchTeamStats!$L$2:$L$209,"Draw")</f>
        <v>2</v>
      </c>
      <c r="H13" s="10">
        <f>COUNTIFS(MatchTeamStats!$F$2:$F$209,$A13,MatchTeamStats!$L$2:$L$209,"Loss")</f>
        <v>1</v>
      </c>
      <c r="I13" s="10">
        <f>SUMIFS(MatchTeamStats!$J$2:$J$209,MatchTeamStats!$F$2:$F$209,$A13)</f>
        <v>10</v>
      </c>
      <c r="J13" s="10">
        <f>SUMIFS(MatchTeamStats!$K$2:$K$209,MatchTeamStats!$F$2:$F$209,$A13)</f>
        <v>6</v>
      </c>
      <c r="K13" s="10">
        <f t="shared" si="0"/>
        <v>4</v>
      </c>
      <c r="L13" s="10">
        <f>SUMIFS(MatchTeamStats!$V$2:$V$209,MatchTeamStats!$F$2:$F$209,$A13)</f>
        <v>11</v>
      </c>
      <c r="M13" s="11">
        <f t="shared" si="1"/>
        <v>0.5</v>
      </c>
      <c r="O13" s="8" t="s">
        <v>41</v>
      </c>
      <c r="V13" s="10">
        <v>3</v>
      </c>
      <c r="W13" s="10" t="str">
        <f>IFERROR(INDEX(Stadiums!$B$2:$B$17,MATCH($V13,Stadiums!$A$2:$A$17,0)),"")</f>
        <v>Mexico City Stadium</v>
      </c>
      <c r="X13" s="10" t="str">
        <f>IFERROR(INDEX(Stadiums!$C$2:$C$17,MATCH($V13,Stadiums!$A$2:$A$17,0)),"")</f>
        <v>Mexico City</v>
      </c>
      <c r="Y13" s="10">
        <f>COUNTIF(Matches!$E$2:$E$105,$V13)</f>
        <v>5</v>
      </c>
      <c r="Z13" s="10">
        <f>SUMIFS(Matches!$P$2:$P$105,Matches!$E$2:$E$105,$V13)</f>
        <v>16</v>
      </c>
      <c r="AA13" s="12">
        <f t="shared" si="3"/>
        <v>3.2</v>
      </c>
    </row>
    <row r="14" spans="1:27" x14ac:dyDescent="0.3">
      <c r="A14" s="10">
        <v>3</v>
      </c>
      <c r="B14" s="10" t="str">
        <f>IFERROR(INDEX(Teams!$B$2:$B$49,MATCH($A14,Teams!$A$2:$A$49,0)),"")</f>
        <v>Brazil</v>
      </c>
      <c r="C14" s="10" t="str">
        <f>IFERROR(INDEX(Teams!$D$2:$D$49,MATCH($A14,Teams!$A$2:$A$49,0)),"")</f>
        <v>CONMEBOL</v>
      </c>
      <c r="D14" s="10" t="str">
        <f>IFERROR(INDEX(Teams!$E$2:$E$49,MATCH($A14,Teams!$A$2:$A$49,0)),"")</f>
        <v>Group C</v>
      </c>
      <c r="E14" s="10">
        <f>COUNTIF(MatchTeamStats!$F$2:$F$209,$A14)</f>
        <v>5</v>
      </c>
      <c r="F14" s="10">
        <f>COUNTIFS(MatchTeamStats!$F$2:$F$209,$A14,MatchTeamStats!$L$2:$L$209,"Win")</f>
        <v>3</v>
      </c>
      <c r="G14" s="10">
        <f>COUNTIFS(MatchTeamStats!$F$2:$F$209,$A14,MatchTeamStats!$L$2:$L$209,"Draw")</f>
        <v>1</v>
      </c>
      <c r="H14" s="10">
        <f>COUNTIFS(MatchTeamStats!$F$2:$F$209,$A14,MatchTeamStats!$L$2:$L$209,"Loss")</f>
        <v>1</v>
      </c>
      <c r="I14" s="10">
        <f>SUMIFS(MatchTeamStats!$J$2:$J$209,MatchTeamStats!$F$2:$F$209,$A14)</f>
        <v>10</v>
      </c>
      <c r="J14" s="10">
        <f>SUMIFS(MatchTeamStats!$K$2:$K$209,MatchTeamStats!$F$2:$F$209,$A14)</f>
        <v>4</v>
      </c>
      <c r="K14" s="10">
        <f t="shared" si="0"/>
        <v>6</v>
      </c>
      <c r="L14" s="10">
        <f>SUMIFS(MatchTeamStats!$V$2:$V$209,MatchTeamStats!$F$2:$F$209,$A14)</f>
        <v>10</v>
      </c>
      <c r="M14" s="11">
        <f t="shared" si="1"/>
        <v>0.6</v>
      </c>
      <c r="O14" s="7" t="s">
        <v>42</v>
      </c>
      <c r="V14" s="10">
        <v>7</v>
      </c>
      <c r="W14" s="10" t="str">
        <f>IFERROR(INDEX(Stadiums!$B$2:$B$17,MATCH($V14,Stadiums!$A$2:$A$17,0)),"")</f>
        <v>Boston Stadium</v>
      </c>
      <c r="X14" s="10" t="str">
        <f>IFERROR(INDEX(Stadiums!$C$2:$C$17,MATCH($V14,Stadiums!$A$2:$A$17,0)),"")</f>
        <v>Foxborough, Massachusetts</v>
      </c>
      <c r="Y14" s="10">
        <f>COUNTIF(Matches!$E$2:$E$105,$V14)</f>
        <v>7</v>
      </c>
      <c r="Z14" s="10">
        <f>SUMIFS(Matches!$P$2:$P$105,Matches!$E$2:$E$105,$V14)</f>
        <v>16</v>
      </c>
      <c r="AA14" s="12">
        <f t="shared" si="3"/>
        <v>2.2857142857142856</v>
      </c>
    </row>
    <row r="15" spans="1:27" x14ac:dyDescent="0.3">
      <c r="A15" s="10">
        <v>12</v>
      </c>
      <c r="B15" s="10" t="str">
        <f>IFERROR(INDEX(Teams!$B$2:$B$49,MATCH($A15,Teams!$A$2:$A$49,0)),"")</f>
        <v>USA</v>
      </c>
      <c r="C15" s="10" t="str">
        <f>IFERROR(INDEX(Teams!$D$2:$D$49,MATCH($A15,Teams!$A$2:$A$49,0)),"")</f>
        <v>CONCACAF</v>
      </c>
      <c r="D15" s="10" t="str">
        <f>IFERROR(INDEX(Teams!$E$2:$E$49,MATCH($A15,Teams!$A$2:$A$49,0)),"")</f>
        <v>Group D</v>
      </c>
      <c r="E15" s="10">
        <f>COUNTIF(MatchTeamStats!$F$2:$F$209,$A15)</f>
        <v>5</v>
      </c>
      <c r="F15" s="10">
        <f>COUNTIFS(MatchTeamStats!$F$2:$F$209,$A15,MatchTeamStats!$L$2:$L$209,"Win")</f>
        <v>3</v>
      </c>
      <c r="G15" s="10">
        <f>COUNTIFS(MatchTeamStats!$F$2:$F$209,$A15,MatchTeamStats!$L$2:$L$209,"Draw")</f>
        <v>0</v>
      </c>
      <c r="H15" s="10">
        <f>COUNTIFS(MatchTeamStats!$F$2:$F$209,$A15,MatchTeamStats!$L$2:$L$209,"Loss")</f>
        <v>2</v>
      </c>
      <c r="I15" s="10">
        <f>SUMIFS(MatchTeamStats!$J$2:$J$209,MatchTeamStats!$F$2:$F$209,$A15)</f>
        <v>11</v>
      </c>
      <c r="J15" s="10">
        <f>SUMIFS(MatchTeamStats!$K$2:$K$209,MatchTeamStats!$F$2:$F$209,$A15)</f>
        <v>8</v>
      </c>
      <c r="K15" s="10">
        <f t="shared" si="0"/>
        <v>3</v>
      </c>
      <c r="L15" s="10">
        <f>SUMIFS(MatchTeamStats!$V$2:$V$209,MatchTeamStats!$F$2:$F$209,$A15)</f>
        <v>9</v>
      </c>
      <c r="M15" s="11">
        <f t="shared" si="1"/>
        <v>0.6</v>
      </c>
      <c r="O15" s="9" t="s">
        <v>43</v>
      </c>
      <c r="P15" s="9" t="s">
        <v>44</v>
      </c>
      <c r="Q15" s="9" t="s">
        <v>45</v>
      </c>
      <c r="R15" s="9" t="s">
        <v>15</v>
      </c>
      <c r="S15" s="9" t="s">
        <v>46</v>
      </c>
      <c r="T15" s="9" t="s">
        <v>47</v>
      </c>
      <c r="V15" s="10">
        <v>1</v>
      </c>
      <c r="W15" s="10" t="str">
        <f>IFERROR(INDEX(Stadiums!$B$2:$B$17,MATCH($V15,Stadiums!$A$2:$A$17,0)),"")</f>
        <v>Toronto Stadium</v>
      </c>
      <c r="X15" s="10" t="str">
        <f>IFERROR(INDEX(Stadiums!$C$2:$C$17,MATCH($V15,Stadiums!$A$2:$A$17,0)),"")</f>
        <v>Toronto, Ontario</v>
      </c>
      <c r="Y15" s="10">
        <f>COUNTIF(Matches!$E$2:$E$105,$V15)</f>
        <v>6</v>
      </c>
      <c r="Z15" s="10">
        <f>SUMIFS(Matches!$P$2:$P$105,Matches!$E$2:$E$105,$V15)</f>
        <v>15</v>
      </c>
      <c r="AA15" s="12">
        <f t="shared" si="3"/>
        <v>2.5</v>
      </c>
    </row>
    <row r="16" spans="1:27" x14ac:dyDescent="0.3">
      <c r="A16" s="10">
        <v>9</v>
      </c>
      <c r="B16" s="10" t="str">
        <f>IFERROR(INDEX(Teams!$B$2:$B$49,MATCH($A16,Teams!$A$2:$A$49,0)),"")</f>
        <v>Netherlands</v>
      </c>
      <c r="C16" s="10" t="str">
        <f>IFERROR(INDEX(Teams!$D$2:$D$49,MATCH($A16,Teams!$A$2:$A$49,0)),"")</f>
        <v>UEFA</v>
      </c>
      <c r="D16" s="10" t="str">
        <f>IFERROR(INDEX(Teams!$E$2:$E$49,MATCH($A16,Teams!$A$2:$A$49,0)),"")</f>
        <v>Group F</v>
      </c>
      <c r="E16" s="10">
        <f>COUNTIF(MatchTeamStats!$F$2:$F$209,$A16)</f>
        <v>4</v>
      </c>
      <c r="F16" s="10">
        <f>COUNTIFS(MatchTeamStats!$F$2:$F$209,$A16,MatchTeamStats!$L$2:$L$209,"Win")</f>
        <v>2</v>
      </c>
      <c r="G16" s="10">
        <f>COUNTIFS(MatchTeamStats!$F$2:$F$209,$A16,MatchTeamStats!$L$2:$L$209,"Draw")</f>
        <v>2</v>
      </c>
      <c r="H16" s="10">
        <f>COUNTIFS(MatchTeamStats!$F$2:$F$209,$A16,MatchTeamStats!$L$2:$L$209,"Loss")</f>
        <v>0</v>
      </c>
      <c r="I16" s="10">
        <f>SUMIFS(MatchTeamStats!$J$2:$J$209,MatchTeamStats!$F$2:$F$209,$A16)</f>
        <v>11</v>
      </c>
      <c r="J16" s="10">
        <f>SUMIFS(MatchTeamStats!$K$2:$K$209,MatchTeamStats!$F$2:$F$209,$A16)</f>
        <v>5</v>
      </c>
      <c r="K16" s="10">
        <f t="shared" si="0"/>
        <v>6</v>
      </c>
      <c r="L16" s="10">
        <f>SUMIFS(MatchTeamStats!$V$2:$V$209,MatchTeamStats!$F$2:$F$209,$A16)</f>
        <v>8</v>
      </c>
      <c r="M16" s="11">
        <f t="shared" si="1"/>
        <v>0.5</v>
      </c>
      <c r="O16" s="10">
        <v>1</v>
      </c>
      <c r="P16" s="10">
        <v>478</v>
      </c>
      <c r="Q16" s="10" t="str">
        <f>IFERROR(INDEX(Players!$B$2:$B$1249,MATCH($P16,Players!$A$2:$A$1249,0)),"")</f>
        <v>Kylian Mbappe</v>
      </c>
      <c r="R16" s="10" t="str">
        <f>IFERROR(INDEX(Players!$D$2:$D$1249,MATCH($P16,Players!$A$2:$A$1249,0)),"")</f>
        <v>France</v>
      </c>
      <c r="S16" s="10" t="str">
        <f>IFERROR(INDEX(Players!$E$2:$E$1249,MATCH($P16,Players!$A$2:$A$1249,0)),"")</f>
        <v>FW</v>
      </c>
      <c r="T16" s="10">
        <f>COUNTIF(Goals!$C$2:$C$309,$P16)</f>
        <v>10</v>
      </c>
      <c r="V16" s="10">
        <v>14</v>
      </c>
      <c r="W16" s="10" t="str">
        <f>IFERROR(INDEX(Stadiums!$B$2:$B$17,MATCH($V16,Stadiums!$A$2:$A$17,0)),"")</f>
        <v>Philadelphia Stadium</v>
      </c>
      <c r="X16" s="10" t="str">
        <f>IFERROR(INDEX(Stadiums!$C$2:$C$17,MATCH($V16,Stadiums!$A$2:$A$17,0)),"")</f>
        <v>Philadelphia, Pennsylvania</v>
      </c>
      <c r="Y16" s="10">
        <f>COUNTIF(Matches!$E$2:$E$105,$V16)</f>
        <v>6</v>
      </c>
      <c r="Z16" s="10">
        <f>SUMIFS(Matches!$P$2:$P$105,Matches!$E$2:$E$105,$V16)</f>
        <v>13</v>
      </c>
      <c r="AA16" s="12">
        <f t="shared" si="3"/>
        <v>2.1666666666666665</v>
      </c>
    </row>
    <row r="17" spans="1:27" x14ac:dyDescent="0.3">
      <c r="A17" s="10">
        <v>23</v>
      </c>
      <c r="B17" s="10" t="str">
        <f>IFERROR(INDEX(Teams!$B$2:$B$49,MATCH($A17,Teams!$A$2:$A$49,0)),"")</f>
        <v>Portugal</v>
      </c>
      <c r="C17" s="10" t="str">
        <f>IFERROR(INDEX(Teams!$D$2:$D$49,MATCH($A17,Teams!$A$2:$A$49,0)),"")</f>
        <v>UEFA</v>
      </c>
      <c r="D17" s="10" t="str">
        <f>IFERROR(INDEX(Teams!$E$2:$E$49,MATCH($A17,Teams!$A$2:$A$49,0)),"")</f>
        <v>Group K</v>
      </c>
      <c r="E17" s="10">
        <f>COUNTIF(MatchTeamStats!$F$2:$F$209,$A17)</f>
        <v>5</v>
      </c>
      <c r="F17" s="10">
        <f>COUNTIFS(MatchTeamStats!$F$2:$F$209,$A17,MatchTeamStats!$L$2:$L$209,"Win")</f>
        <v>2</v>
      </c>
      <c r="G17" s="10">
        <f>COUNTIFS(MatchTeamStats!$F$2:$F$209,$A17,MatchTeamStats!$L$2:$L$209,"Draw")</f>
        <v>2</v>
      </c>
      <c r="H17" s="10">
        <f>COUNTIFS(MatchTeamStats!$F$2:$F$209,$A17,MatchTeamStats!$L$2:$L$209,"Loss")</f>
        <v>1</v>
      </c>
      <c r="I17" s="10">
        <f>SUMIFS(MatchTeamStats!$J$2:$J$209,MatchTeamStats!$F$2:$F$209,$A17)</f>
        <v>8</v>
      </c>
      <c r="J17" s="10">
        <f>SUMIFS(MatchTeamStats!$K$2:$K$209,MatchTeamStats!$F$2:$F$209,$A17)</f>
        <v>3</v>
      </c>
      <c r="K17" s="10">
        <f t="shared" si="0"/>
        <v>5</v>
      </c>
      <c r="L17" s="10">
        <f>SUMIFS(MatchTeamStats!$V$2:$V$209,MatchTeamStats!$F$2:$F$209,$A17)</f>
        <v>8</v>
      </c>
      <c r="M17" s="11">
        <f t="shared" si="1"/>
        <v>0.4</v>
      </c>
      <c r="O17" s="10">
        <v>2</v>
      </c>
      <c r="P17" s="10">
        <v>36</v>
      </c>
      <c r="Q17" s="10" t="str">
        <f>IFERROR(INDEX(Players!$B$2:$B$1249,MATCH($P17,Players!$A$2:$A$1249,0)),"")</f>
        <v>Lionel Messi</v>
      </c>
      <c r="R17" s="10" t="str">
        <f>IFERROR(INDEX(Players!$D$2:$D$1249,MATCH($P17,Players!$A$2:$A$1249,0)),"")</f>
        <v>Argentina</v>
      </c>
      <c r="S17" s="10" t="str">
        <f>IFERROR(INDEX(Players!$E$2:$E$1249,MATCH($P17,Players!$A$2:$A$1249,0)),"")</f>
        <v>FW</v>
      </c>
      <c r="T17" s="10">
        <f>COUNTIF(Goals!$C$2:$C$309,$P17)</f>
        <v>8</v>
      </c>
      <c r="V17" s="10">
        <v>5</v>
      </c>
      <c r="W17" s="10" t="str">
        <f>IFERROR(INDEX(Stadiums!$B$2:$B$17,MATCH($V17,Stadiums!$A$2:$A$17,0)),"")</f>
        <v>Estadio Monterrey</v>
      </c>
      <c r="X17" s="10" t="str">
        <f>IFERROR(INDEX(Stadiums!$C$2:$C$17,MATCH($V17,Stadiums!$A$2:$A$17,0)),"")</f>
        <v>Guadalupe, Nuevo Leon</v>
      </c>
      <c r="Y17" s="10">
        <f>COUNTIF(Matches!$E$2:$E$105,$V17)</f>
        <v>4</v>
      </c>
      <c r="Z17" s="10">
        <f>SUMIFS(Matches!$P$2:$P$105,Matches!$E$2:$E$105,$V17)</f>
        <v>13</v>
      </c>
      <c r="AA17" s="12">
        <f t="shared" si="3"/>
        <v>3.25</v>
      </c>
    </row>
    <row r="18" spans="1:27" x14ac:dyDescent="0.3">
      <c r="A18" s="10">
        <v>7</v>
      </c>
      <c r="B18" s="10" t="str">
        <f>IFERROR(INDEX(Teams!$B$2:$B$49,MATCH($A18,Teams!$A$2:$A$49,0)),"")</f>
        <v>Germany</v>
      </c>
      <c r="C18" s="10" t="str">
        <f>IFERROR(INDEX(Teams!$D$2:$D$49,MATCH($A18,Teams!$A$2:$A$49,0)),"")</f>
        <v>UEFA</v>
      </c>
      <c r="D18" s="10" t="str">
        <f>IFERROR(INDEX(Teams!$E$2:$E$49,MATCH($A18,Teams!$A$2:$A$49,0)),"")</f>
        <v>Group E</v>
      </c>
      <c r="E18" s="10">
        <f>COUNTIF(MatchTeamStats!$F$2:$F$209,$A18)</f>
        <v>4</v>
      </c>
      <c r="F18" s="10">
        <f>COUNTIFS(MatchTeamStats!$F$2:$F$209,$A18,MatchTeamStats!$L$2:$L$209,"Win")</f>
        <v>2</v>
      </c>
      <c r="G18" s="10">
        <f>COUNTIFS(MatchTeamStats!$F$2:$F$209,$A18,MatchTeamStats!$L$2:$L$209,"Draw")</f>
        <v>1</v>
      </c>
      <c r="H18" s="10">
        <f>COUNTIFS(MatchTeamStats!$F$2:$F$209,$A18,MatchTeamStats!$L$2:$L$209,"Loss")</f>
        <v>1</v>
      </c>
      <c r="I18" s="10">
        <f>SUMIFS(MatchTeamStats!$J$2:$J$209,MatchTeamStats!$F$2:$F$209,$A18)</f>
        <v>11</v>
      </c>
      <c r="J18" s="10">
        <f>SUMIFS(MatchTeamStats!$K$2:$K$209,MatchTeamStats!$F$2:$F$209,$A18)</f>
        <v>5</v>
      </c>
      <c r="K18" s="10">
        <f t="shared" si="0"/>
        <v>6</v>
      </c>
      <c r="L18" s="10">
        <f>SUMIFS(MatchTeamStats!$V$2:$V$209,MatchTeamStats!$F$2:$F$209,$A18)</f>
        <v>7</v>
      </c>
      <c r="M18" s="11">
        <f t="shared" si="1"/>
        <v>0.5</v>
      </c>
      <c r="O18" s="10">
        <v>3</v>
      </c>
      <c r="P18" s="10">
        <v>452</v>
      </c>
      <c r="Q18" s="10" t="str">
        <f>IFERROR(INDEX(Players!$B$2:$B$1249,MATCH($P18,Players!$A$2:$A$1249,0)),"")</f>
        <v>Jude Bellingham</v>
      </c>
      <c r="R18" s="10" t="str">
        <f>IFERROR(INDEX(Players!$D$2:$D$1249,MATCH($P18,Players!$A$2:$A$1249,0)),"")</f>
        <v>England</v>
      </c>
      <c r="S18" s="10" t="str">
        <f>IFERROR(INDEX(Players!$E$2:$E$1249,MATCH($P18,Players!$A$2:$A$1249,0)),"")</f>
        <v>MF</v>
      </c>
      <c r="T18" s="10">
        <f>COUNTIF(Goals!$C$2:$C$309,$P18)</f>
        <v>7</v>
      </c>
      <c r="V18" s="10">
        <v>15</v>
      </c>
      <c r="W18" s="10" t="str">
        <f>IFERROR(INDEX(Stadiums!$B$2:$B$17,MATCH($V18,Stadiums!$A$2:$A$17,0)),"")</f>
        <v>San Francisco Bay Area Stadium</v>
      </c>
      <c r="X18" s="10" t="str">
        <f>IFERROR(INDEX(Stadiums!$C$2:$C$17,MATCH($V18,Stadiums!$A$2:$A$17,0)),"")</f>
        <v>Santa Clara, California</v>
      </c>
      <c r="Y18" s="10">
        <f>COUNTIF(Matches!$E$2:$E$105,$V18)</f>
        <v>6</v>
      </c>
      <c r="Z18" s="10">
        <f>SUMIFS(Matches!$P$2:$P$105,Matches!$E$2:$E$105,$V18)</f>
        <v>12</v>
      </c>
      <c r="AA18" s="12">
        <f t="shared" si="3"/>
        <v>2</v>
      </c>
    </row>
    <row r="19" spans="1:27" x14ac:dyDescent="0.3">
      <c r="A19" s="10">
        <v>16</v>
      </c>
      <c r="B19" s="10" t="str">
        <f>IFERROR(INDEX(Teams!$B$2:$B$49,MATCH($A19,Teams!$A$2:$A$49,0)),"")</f>
        <v>Canada</v>
      </c>
      <c r="C19" s="10" t="str">
        <f>IFERROR(INDEX(Teams!$D$2:$D$49,MATCH($A19,Teams!$A$2:$A$49,0)),"")</f>
        <v>CONCACAF</v>
      </c>
      <c r="D19" s="10" t="str">
        <f>IFERROR(INDEX(Teams!$E$2:$E$49,MATCH($A19,Teams!$A$2:$A$49,0)),"")</f>
        <v>Group B</v>
      </c>
      <c r="E19" s="10">
        <f>COUNTIF(MatchTeamStats!$F$2:$F$209,$A19)</f>
        <v>5</v>
      </c>
      <c r="F19" s="10">
        <f>COUNTIFS(MatchTeamStats!$F$2:$F$209,$A19,MatchTeamStats!$L$2:$L$209,"Win")</f>
        <v>2</v>
      </c>
      <c r="G19" s="10">
        <f>COUNTIFS(MatchTeamStats!$F$2:$F$209,$A19,MatchTeamStats!$L$2:$L$209,"Draw")</f>
        <v>1</v>
      </c>
      <c r="H19" s="10">
        <f>COUNTIFS(MatchTeamStats!$F$2:$F$209,$A19,MatchTeamStats!$L$2:$L$209,"Loss")</f>
        <v>2</v>
      </c>
      <c r="I19" s="10">
        <f>SUMIFS(MatchTeamStats!$J$2:$J$209,MatchTeamStats!$F$2:$F$209,$A19)</f>
        <v>9</v>
      </c>
      <c r="J19" s="10">
        <f>SUMIFS(MatchTeamStats!$K$2:$K$209,MatchTeamStats!$F$2:$F$209,$A19)</f>
        <v>6</v>
      </c>
      <c r="K19" s="10">
        <f t="shared" si="0"/>
        <v>3</v>
      </c>
      <c r="L19" s="10">
        <f>SUMIFS(MatchTeamStats!$V$2:$V$209,MatchTeamStats!$F$2:$F$209,$A19)</f>
        <v>7</v>
      </c>
      <c r="M19" s="11">
        <f t="shared" si="1"/>
        <v>0.4</v>
      </c>
      <c r="O19" s="10">
        <v>4</v>
      </c>
      <c r="P19" s="10">
        <v>815</v>
      </c>
      <c r="Q19" s="10" t="str">
        <f>IFERROR(INDEX(Players!$B$2:$B$1249,MATCH($P19,Players!$A$2:$A$1249,0)),"")</f>
        <v>Erling Haaland</v>
      </c>
      <c r="R19" s="10" t="str">
        <f>IFERROR(INDEX(Players!$D$2:$D$1249,MATCH($P19,Players!$A$2:$A$1249,0)),"")</f>
        <v>Norway</v>
      </c>
      <c r="S19" s="10" t="str">
        <f>IFERROR(INDEX(Players!$E$2:$E$1249,MATCH($P19,Players!$A$2:$A$1249,0)),"")</f>
        <v>FW</v>
      </c>
      <c r="T19" s="10">
        <f>COUNTIF(Goals!$C$2:$C$309,$P19)</f>
        <v>7</v>
      </c>
      <c r="V19" s="10">
        <v>4</v>
      </c>
      <c r="W19" s="10" t="str">
        <f>IFERROR(INDEX(Stadiums!$B$2:$B$17,MATCH($V19,Stadiums!$A$2:$A$17,0)),"")</f>
        <v>Guadalajara Stadium</v>
      </c>
      <c r="X19" s="10" t="str">
        <f>IFERROR(INDEX(Stadiums!$C$2:$C$17,MATCH($V19,Stadiums!$A$2:$A$17,0)),"")</f>
        <v>Zapopan, Jalisco</v>
      </c>
      <c r="Y19" s="10">
        <f>COUNTIF(Matches!$E$2:$E$105,$V19)</f>
        <v>4</v>
      </c>
      <c r="Z19" s="10">
        <f>SUMIFS(Matches!$P$2:$P$105,Matches!$E$2:$E$105,$V19)</f>
        <v>6</v>
      </c>
      <c r="AA19" s="12">
        <f t="shared" si="3"/>
        <v>1.5</v>
      </c>
    </row>
    <row r="20" spans="1:27" x14ac:dyDescent="0.3">
      <c r="A20" s="10">
        <v>17</v>
      </c>
      <c r="B20" s="10" t="str">
        <f>IFERROR(INDEX(Teams!$B$2:$B$49,MATCH($A20,Teams!$A$2:$A$49,0)),"")</f>
        <v>Côte d'Ivoire</v>
      </c>
      <c r="C20" s="10" t="str">
        <f>IFERROR(INDEX(Teams!$D$2:$D$49,MATCH($A20,Teams!$A$2:$A$49,0)),"")</f>
        <v>CAF</v>
      </c>
      <c r="D20" s="10" t="str">
        <f>IFERROR(INDEX(Teams!$E$2:$E$49,MATCH($A20,Teams!$A$2:$A$49,0)),"")</f>
        <v>Group E</v>
      </c>
      <c r="E20" s="10">
        <f>COUNTIF(MatchTeamStats!$F$2:$F$209,$A20)</f>
        <v>4</v>
      </c>
      <c r="F20" s="10">
        <f>COUNTIFS(MatchTeamStats!$F$2:$F$209,$A20,MatchTeamStats!$L$2:$L$209,"Win")</f>
        <v>2</v>
      </c>
      <c r="G20" s="10">
        <f>COUNTIFS(MatchTeamStats!$F$2:$F$209,$A20,MatchTeamStats!$L$2:$L$209,"Draw")</f>
        <v>0</v>
      </c>
      <c r="H20" s="10">
        <f>COUNTIFS(MatchTeamStats!$F$2:$F$209,$A20,MatchTeamStats!$L$2:$L$209,"Loss")</f>
        <v>2</v>
      </c>
      <c r="I20" s="10">
        <f>SUMIFS(MatchTeamStats!$J$2:$J$209,MatchTeamStats!$F$2:$F$209,$A20)</f>
        <v>5</v>
      </c>
      <c r="J20" s="10">
        <f>SUMIFS(MatchTeamStats!$K$2:$K$209,MatchTeamStats!$F$2:$F$209,$A20)</f>
        <v>4</v>
      </c>
      <c r="K20" s="10">
        <f t="shared" si="0"/>
        <v>1</v>
      </c>
      <c r="L20" s="10">
        <f>SUMIFS(MatchTeamStats!$V$2:$V$209,MatchTeamStats!$F$2:$F$209,$A20)</f>
        <v>6</v>
      </c>
      <c r="M20" s="11">
        <f t="shared" si="1"/>
        <v>0.5</v>
      </c>
      <c r="O20" s="10">
        <v>5</v>
      </c>
      <c r="P20" s="10">
        <v>475</v>
      </c>
      <c r="Q20" s="10" t="str">
        <f>IFERROR(INDEX(Players!$B$2:$B$1249,MATCH($P20,Players!$A$2:$A$1249,0)),"")</f>
        <v>Ousmane Dembele</v>
      </c>
      <c r="R20" s="10" t="str">
        <f>IFERROR(INDEX(Players!$D$2:$D$1249,MATCH($P20,Players!$A$2:$A$1249,0)),"")</f>
        <v>France</v>
      </c>
      <c r="S20" s="10" t="str">
        <f>IFERROR(INDEX(Players!$E$2:$E$1249,MATCH($P20,Players!$A$2:$A$1249,0)),"")</f>
        <v>FW</v>
      </c>
      <c r="T20" s="10">
        <f>COUNTIF(Goals!$C$2:$C$309,$P20)</f>
        <v>6</v>
      </c>
    </row>
    <row r="21" spans="1:27" x14ac:dyDescent="0.3">
      <c r="A21" s="10">
        <v>19</v>
      </c>
      <c r="B21" s="10" t="str">
        <f>IFERROR(INDEX(Teams!$B$2:$B$49,MATCH($A21,Teams!$A$2:$A$49,0)),"")</f>
        <v>Egypt</v>
      </c>
      <c r="C21" s="10" t="str">
        <f>IFERROR(INDEX(Teams!$D$2:$D$49,MATCH($A21,Teams!$A$2:$A$49,0)),"")</f>
        <v>CAF</v>
      </c>
      <c r="D21" s="10" t="str">
        <f>IFERROR(INDEX(Teams!$E$2:$E$49,MATCH($A21,Teams!$A$2:$A$49,0)),"")</f>
        <v>Group G</v>
      </c>
      <c r="E21" s="10">
        <f>COUNTIF(MatchTeamStats!$F$2:$F$209,$A21)</f>
        <v>5</v>
      </c>
      <c r="F21" s="10">
        <f>COUNTIFS(MatchTeamStats!$F$2:$F$209,$A21,MatchTeamStats!$L$2:$L$209,"Win")</f>
        <v>1</v>
      </c>
      <c r="G21" s="10">
        <f>COUNTIFS(MatchTeamStats!$F$2:$F$209,$A21,MatchTeamStats!$L$2:$L$209,"Draw")</f>
        <v>3</v>
      </c>
      <c r="H21" s="10">
        <f>COUNTIFS(MatchTeamStats!$F$2:$F$209,$A21,MatchTeamStats!$L$2:$L$209,"Loss")</f>
        <v>1</v>
      </c>
      <c r="I21" s="10">
        <f>SUMIFS(MatchTeamStats!$J$2:$J$209,MatchTeamStats!$F$2:$F$209,$A21)</f>
        <v>8</v>
      </c>
      <c r="J21" s="10">
        <f>SUMIFS(MatchTeamStats!$K$2:$K$209,MatchTeamStats!$F$2:$F$209,$A21)</f>
        <v>7</v>
      </c>
      <c r="K21" s="10">
        <f t="shared" si="0"/>
        <v>1</v>
      </c>
      <c r="L21" s="10">
        <f>SUMIFS(MatchTeamStats!$V$2:$V$209,MatchTeamStats!$F$2:$F$209,$A21)</f>
        <v>6</v>
      </c>
      <c r="M21" s="11">
        <f t="shared" si="1"/>
        <v>0.2</v>
      </c>
      <c r="O21" s="10">
        <v>6</v>
      </c>
      <c r="P21" s="10">
        <v>451</v>
      </c>
      <c r="Q21" s="10" t="str">
        <f>IFERROR(INDEX(Players!$B$2:$B$1249,MATCH($P21,Players!$A$2:$A$1249,0)),"")</f>
        <v>Harry Kane</v>
      </c>
      <c r="R21" s="10" t="str">
        <f>IFERROR(INDEX(Players!$D$2:$D$1249,MATCH($P21,Players!$A$2:$A$1249,0)),"")</f>
        <v>England</v>
      </c>
      <c r="S21" s="10" t="str">
        <f>IFERROR(INDEX(Players!$E$2:$E$1249,MATCH($P21,Players!$A$2:$A$1249,0)),"")</f>
        <v>FW</v>
      </c>
      <c r="T21" s="10">
        <f>COUNTIF(Goals!$C$2:$C$309,$P21)</f>
        <v>6</v>
      </c>
    </row>
    <row r="22" spans="1:27" ht="17.399999999999999" x14ac:dyDescent="0.3">
      <c r="A22" s="10">
        <v>18</v>
      </c>
      <c r="B22" s="10" t="str">
        <f>IFERROR(INDEX(Teams!$B$2:$B$49,MATCH($A22,Teams!$A$2:$A$49,0)),"")</f>
        <v>Croatia</v>
      </c>
      <c r="C22" s="10" t="str">
        <f>IFERROR(INDEX(Teams!$D$2:$D$49,MATCH($A22,Teams!$A$2:$A$49,0)),"")</f>
        <v>UEFA</v>
      </c>
      <c r="D22" s="10" t="str">
        <f>IFERROR(INDEX(Teams!$E$2:$E$49,MATCH($A22,Teams!$A$2:$A$49,0)),"")</f>
        <v>Group L</v>
      </c>
      <c r="E22" s="10">
        <f>COUNTIF(MatchTeamStats!$F$2:$F$209,$A22)</f>
        <v>4</v>
      </c>
      <c r="F22" s="10">
        <f>COUNTIFS(MatchTeamStats!$F$2:$F$209,$A22,MatchTeamStats!$L$2:$L$209,"Win")</f>
        <v>2</v>
      </c>
      <c r="G22" s="10">
        <f>COUNTIFS(MatchTeamStats!$F$2:$F$209,$A22,MatchTeamStats!$L$2:$L$209,"Draw")</f>
        <v>0</v>
      </c>
      <c r="H22" s="10">
        <f>COUNTIFS(MatchTeamStats!$F$2:$F$209,$A22,MatchTeamStats!$L$2:$L$209,"Loss")</f>
        <v>2</v>
      </c>
      <c r="I22" s="10">
        <f>SUMIFS(MatchTeamStats!$J$2:$J$209,MatchTeamStats!$F$2:$F$209,$A22)</f>
        <v>6</v>
      </c>
      <c r="J22" s="10">
        <f>SUMIFS(MatchTeamStats!$K$2:$K$209,MatchTeamStats!$F$2:$F$209,$A22)</f>
        <v>7</v>
      </c>
      <c r="K22" s="10">
        <f t="shared" si="0"/>
        <v>-1</v>
      </c>
      <c r="L22" s="10">
        <f>SUMIFS(MatchTeamStats!$V$2:$V$209,MatchTeamStats!$F$2:$F$209,$A22)</f>
        <v>6</v>
      </c>
      <c r="M22" s="11">
        <f t="shared" si="1"/>
        <v>0.5</v>
      </c>
      <c r="O22" s="10">
        <v>7</v>
      </c>
      <c r="P22" s="10">
        <v>1061</v>
      </c>
      <c r="Q22" s="10" t="str">
        <f>IFERROR(INDEX(Players!$B$2:$B$1249,MATCH($P22,Players!$A$2:$A$1249,0)),"")</f>
        <v>Mikel Oyarzabal</v>
      </c>
      <c r="R22" s="10" t="str">
        <f>IFERROR(INDEX(Players!$D$2:$D$1249,MATCH($P22,Players!$A$2:$A$1249,0)),"")</f>
        <v>Spain</v>
      </c>
      <c r="S22" s="10" t="str">
        <f>IFERROR(INDEX(Players!$E$2:$E$1249,MATCH($P22,Players!$A$2:$A$1249,0)),"")</f>
        <v>FW</v>
      </c>
      <c r="T22" s="10">
        <f>COUNTIF(Goals!$C$2:$C$309,$P22)</f>
        <v>5</v>
      </c>
      <c r="V22" s="8" t="s">
        <v>48</v>
      </c>
    </row>
    <row r="23" spans="1:27" x14ac:dyDescent="0.3">
      <c r="A23" s="10">
        <v>20</v>
      </c>
      <c r="B23" s="10" t="str">
        <f>IFERROR(INDEX(Teams!$B$2:$B$49,MATCH($A23,Teams!$A$2:$A$49,0)),"")</f>
        <v>Japan</v>
      </c>
      <c r="C23" s="10" t="str">
        <f>IFERROR(INDEX(Teams!$D$2:$D$49,MATCH($A23,Teams!$A$2:$A$49,0)),"")</f>
        <v>AFC</v>
      </c>
      <c r="D23" s="10" t="str">
        <f>IFERROR(INDEX(Teams!$E$2:$E$49,MATCH($A23,Teams!$A$2:$A$49,0)),"")</f>
        <v>Group F</v>
      </c>
      <c r="E23" s="10">
        <f>COUNTIF(MatchTeamStats!$F$2:$F$209,$A23)</f>
        <v>4</v>
      </c>
      <c r="F23" s="10">
        <f>COUNTIFS(MatchTeamStats!$F$2:$F$209,$A23,MatchTeamStats!$L$2:$L$209,"Win")</f>
        <v>1</v>
      </c>
      <c r="G23" s="10">
        <f>COUNTIFS(MatchTeamStats!$F$2:$F$209,$A23,MatchTeamStats!$L$2:$L$209,"Draw")</f>
        <v>2</v>
      </c>
      <c r="H23" s="10">
        <f>COUNTIFS(MatchTeamStats!$F$2:$F$209,$A23,MatchTeamStats!$L$2:$L$209,"Loss")</f>
        <v>1</v>
      </c>
      <c r="I23" s="10">
        <f>SUMIFS(MatchTeamStats!$J$2:$J$209,MatchTeamStats!$F$2:$F$209,$A23)</f>
        <v>8</v>
      </c>
      <c r="J23" s="10">
        <f>SUMIFS(MatchTeamStats!$K$2:$K$209,MatchTeamStats!$F$2:$F$209,$A23)</f>
        <v>5</v>
      </c>
      <c r="K23" s="10">
        <f t="shared" si="0"/>
        <v>3</v>
      </c>
      <c r="L23" s="10">
        <f>SUMIFS(MatchTeamStats!$V$2:$V$209,MatchTeamStats!$F$2:$F$209,$A23)</f>
        <v>5</v>
      </c>
      <c r="M23" s="11">
        <f t="shared" si="1"/>
        <v>0.25</v>
      </c>
      <c r="O23" s="10">
        <v>8</v>
      </c>
      <c r="P23" s="10">
        <v>718</v>
      </c>
      <c r="Q23" s="10" t="str">
        <f>IFERROR(INDEX(Players!$B$2:$B$1249,MATCH($P23,Players!$A$2:$A$1249,0)),"")</f>
        <v>Julian Quinones</v>
      </c>
      <c r="R23" s="10" t="str">
        <f>IFERROR(INDEX(Players!$D$2:$D$1249,MATCH($P23,Players!$A$2:$A$1249,0)),"")</f>
        <v>Mexico</v>
      </c>
      <c r="S23" s="10" t="str">
        <f>IFERROR(INDEX(Players!$E$2:$E$1249,MATCH($P23,Players!$A$2:$A$1249,0)),"")</f>
        <v>FW</v>
      </c>
      <c r="T23" s="10">
        <f>COUNTIF(Goals!$C$2:$C$309,$P23)</f>
        <v>4</v>
      </c>
      <c r="V23" s="7" t="s">
        <v>49</v>
      </c>
    </row>
    <row r="24" spans="1:27" ht="26.4" x14ac:dyDescent="0.3">
      <c r="A24" s="10">
        <v>13</v>
      </c>
      <c r="B24" s="10" t="str">
        <f>IFERROR(INDEX(Teams!$B$2:$B$49,MATCH($A24,Teams!$A$2:$A$49,0)),"")</f>
        <v>Australia</v>
      </c>
      <c r="C24" s="10" t="str">
        <f>IFERROR(INDEX(Teams!$D$2:$D$49,MATCH($A24,Teams!$A$2:$A$49,0)),"")</f>
        <v>AFC</v>
      </c>
      <c r="D24" s="10" t="str">
        <f>IFERROR(INDEX(Teams!$E$2:$E$49,MATCH($A24,Teams!$A$2:$A$49,0)),"")</f>
        <v>Group D</v>
      </c>
      <c r="E24" s="10">
        <f>COUNTIF(MatchTeamStats!$F$2:$F$209,$A24)</f>
        <v>4</v>
      </c>
      <c r="F24" s="10">
        <f>COUNTIFS(MatchTeamStats!$F$2:$F$209,$A24,MatchTeamStats!$L$2:$L$209,"Win")</f>
        <v>1</v>
      </c>
      <c r="G24" s="10">
        <f>COUNTIFS(MatchTeamStats!$F$2:$F$209,$A24,MatchTeamStats!$L$2:$L$209,"Draw")</f>
        <v>2</v>
      </c>
      <c r="H24" s="10">
        <f>COUNTIFS(MatchTeamStats!$F$2:$F$209,$A24,MatchTeamStats!$L$2:$L$209,"Loss")</f>
        <v>1</v>
      </c>
      <c r="I24" s="10">
        <f>SUMIFS(MatchTeamStats!$J$2:$J$209,MatchTeamStats!$F$2:$F$209,$A24)</f>
        <v>3</v>
      </c>
      <c r="J24" s="10">
        <f>SUMIFS(MatchTeamStats!$K$2:$K$209,MatchTeamStats!$F$2:$F$209,$A24)</f>
        <v>3</v>
      </c>
      <c r="K24" s="10">
        <f t="shared" si="0"/>
        <v>0</v>
      </c>
      <c r="L24" s="10">
        <f>SUMIFS(MatchTeamStats!$V$2:$V$209,MatchTeamStats!$F$2:$F$209,$A24)</f>
        <v>5</v>
      </c>
      <c r="M24" s="11">
        <f t="shared" si="1"/>
        <v>0.25</v>
      </c>
      <c r="O24" s="10">
        <v>9</v>
      </c>
      <c r="P24" s="10">
        <v>1006</v>
      </c>
      <c r="Q24" s="10" t="str">
        <f>IFERROR(INDEX(Players!$B$2:$B$1249,MATCH($P24,Players!$A$2:$A$1249,0)),"")</f>
        <v>Ismaila Sarr</v>
      </c>
      <c r="R24" s="10" t="str">
        <f>IFERROR(INDEX(Players!$D$2:$D$1249,MATCH($P24,Players!$A$2:$A$1249,0)),"")</f>
        <v>Senegal</v>
      </c>
      <c r="S24" s="10" t="str">
        <f>IFERROR(INDEX(Players!$E$2:$E$1249,MATCH($P24,Players!$A$2:$A$1249,0)),"")</f>
        <v>FW</v>
      </c>
      <c r="T24" s="10">
        <f>COUNTIF(Goals!$C$2:$C$309,$P24)</f>
        <v>4</v>
      </c>
      <c r="V24" s="9" t="s">
        <v>16</v>
      </c>
      <c r="W24" s="9" t="s">
        <v>50</v>
      </c>
      <c r="X24" s="9" t="s">
        <v>51</v>
      </c>
      <c r="Y24" s="9" t="s">
        <v>52</v>
      </c>
      <c r="Z24" s="9" t="s">
        <v>53</v>
      </c>
    </row>
    <row r="25" spans="1:27" x14ac:dyDescent="0.3">
      <c r="A25" s="10">
        <v>32</v>
      </c>
      <c r="B25" s="10" t="str">
        <f>IFERROR(INDEX(Teams!$B$2:$B$49,MATCH($A25,Teams!$A$2:$A$49,0)),"")</f>
        <v>Paraguay</v>
      </c>
      <c r="C25" s="10" t="str">
        <f>IFERROR(INDEX(Teams!$D$2:$D$49,MATCH($A25,Teams!$A$2:$A$49,0)),"")</f>
        <v>CONMEBOL</v>
      </c>
      <c r="D25" s="10" t="str">
        <f>IFERROR(INDEX(Teams!$E$2:$E$49,MATCH($A25,Teams!$A$2:$A$49,0)),"")</f>
        <v>Group D</v>
      </c>
      <c r="E25" s="10">
        <f>COUNTIF(MatchTeamStats!$F$2:$F$209,$A25)</f>
        <v>5</v>
      </c>
      <c r="F25" s="10">
        <f>COUNTIFS(MatchTeamStats!$F$2:$F$209,$A25,MatchTeamStats!$L$2:$L$209,"Win")</f>
        <v>1</v>
      </c>
      <c r="G25" s="10">
        <f>COUNTIFS(MatchTeamStats!$F$2:$F$209,$A25,MatchTeamStats!$L$2:$L$209,"Draw")</f>
        <v>2</v>
      </c>
      <c r="H25" s="10">
        <f>COUNTIFS(MatchTeamStats!$F$2:$F$209,$A25,MatchTeamStats!$L$2:$L$209,"Loss")</f>
        <v>2</v>
      </c>
      <c r="I25" s="10">
        <f>SUMIFS(MatchTeamStats!$J$2:$J$209,MatchTeamStats!$F$2:$F$209,$A25)</f>
        <v>3</v>
      </c>
      <c r="J25" s="10">
        <f>SUMIFS(MatchTeamStats!$K$2:$K$209,MatchTeamStats!$F$2:$F$209,$A25)</f>
        <v>6</v>
      </c>
      <c r="K25" s="10">
        <f t="shared" si="0"/>
        <v>-3</v>
      </c>
      <c r="L25" s="10">
        <f>SUMIFS(MatchTeamStats!$V$2:$V$209,MatchTeamStats!$F$2:$F$209,$A25)</f>
        <v>5</v>
      </c>
      <c r="M25" s="11">
        <f t="shared" si="1"/>
        <v>0.2</v>
      </c>
      <c r="O25" s="10">
        <v>10</v>
      </c>
      <c r="P25" s="10">
        <v>163</v>
      </c>
      <c r="Q25" s="10" t="str">
        <f>IFERROR(INDEX(Players!$B$2:$B$1249,MATCH($P25,Players!$A$2:$A$1249,0)),"")</f>
        <v>Vinicius Junior</v>
      </c>
      <c r="R25" s="10" t="str">
        <f>IFERROR(INDEX(Players!$D$2:$D$1249,MATCH($P25,Players!$A$2:$A$1249,0)),"")</f>
        <v>Brazil</v>
      </c>
      <c r="S25" s="10" t="str">
        <f>IFERROR(INDEX(Players!$E$2:$E$1249,MATCH($P25,Players!$A$2:$A$1249,0)),"")</f>
        <v>FW</v>
      </c>
      <c r="T25" s="10">
        <f>COUNTIF(Goals!$C$2:$C$309,$P25)</f>
        <v>4</v>
      </c>
      <c r="V25" s="10" t="s">
        <v>54</v>
      </c>
      <c r="W25" s="10">
        <f t="shared" ref="W25:W30" si="4">COUNTIF($C$4:$C$51,$V25)</f>
        <v>16</v>
      </c>
      <c r="X25" s="10">
        <f t="shared" ref="X25:X30" si="5">SUMIF($C$4:$C$51,$V25,$F$4:$F$51)</f>
        <v>42</v>
      </c>
      <c r="Y25" s="10">
        <f t="shared" ref="Y25:Y30" si="6">SUMIF($C$4:$C$51,$V25,$I$4:$I$51)</f>
        <v>151</v>
      </c>
      <c r="Z25" s="10">
        <f t="shared" ref="Z25:Z30" si="7">SUMIF($C$4:$C$51,$V25,$L$4:$L$51)</f>
        <v>141</v>
      </c>
    </row>
    <row r="26" spans="1:27" x14ac:dyDescent="0.3">
      <c r="A26" s="10">
        <v>27</v>
      </c>
      <c r="B26" s="10" t="str">
        <f>IFERROR(INDEX(Teams!$B$2:$B$49,MATCH($A26,Teams!$A$2:$A$49,0)),"")</f>
        <v>Congo DR</v>
      </c>
      <c r="C26" s="10" t="str">
        <f>IFERROR(INDEX(Teams!$D$2:$D$49,MATCH($A26,Teams!$A$2:$A$49,0)),"")</f>
        <v>CAF</v>
      </c>
      <c r="D26" s="10" t="str">
        <f>IFERROR(INDEX(Teams!$E$2:$E$49,MATCH($A26,Teams!$A$2:$A$49,0)),"")</f>
        <v>Group K</v>
      </c>
      <c r="E26" s="10">
        <f>COUNTIF(MatchTeamStats!$F$2:$F$209,$A26)</f>
        <v>4</v>
      </c>
      <c r="F26" s="10">
        <f>COUNTIFS(MatchTeamStats!$F$2:$F$209,$A26,MatchTeamStats!$L$2:$L$209,"Win")</f>
        <v>1</v>
      </c>
      <c r="G26" s="10">
        <f>COUNTIFS(MatchTeamStats!$F$2:$F$209,$A26,MatchTeamStats!$L$2:$L$209,"Draw")</f>
        <v>1</v>
      </c>
      <c r="H26" s="10">
        <f>COUNTIFS(MatchTeamStats!$F$2:$F$209,$A26,MatchTeamStats!$L$2:$L$209,"Loss")</f>
        <v>2</v>
      </c>
      <c r="I26" s="10">
        <f>SUMIFS(MatchTeamStats!$J$2:$J$209,MatchTeamStats!$F$2:$F$209,$A26)</f>
        <v>5</v>
      </c>
      <c r="J26" s="10">
        <f>SUMIFS(MatchTeamStats!$K$2:$K$209,MatchTeamStats!$F$2:$F$209,$A26)</f>
        <v>5</v>
      </c>
      <c r="K26" s="10">
        <f t="shared" si="0"/>
        <v>0</v>
      </c>
      <c r="L26" s="10">
        <f>SUMIFS(MatchTeamStats!$V$2:$V$209,MatchTeamStats!$F$2:$F$209,$A26)</f>
        <v>4</v>
      </c>
      <c r="M26" s="11">
        <f t="shared" si="1"/>
        <v>0.25</v>
      </c>
      <c r="O26" s="10">
        <v>11</v>
      </c>
      <c r="P26" s="10">
        <v>121</v>
      </c>
      <c r="Q26" s="10" t="str">
        <f>IFERROR(INDEX(Players!$B$2:$B$1249,MATCH($P26,Players!$A$2:$A$1249,0)),"")</f>
        <v>Charles De Ketelaere</v>
      </c>
      <c r="R26" s="10" t="str">
        <f>IFERROR(INDEX(Players!$D$2:$D$1249,MATCH($P26,Players!$A$2:$A$1249,0)),"")</f>
        <v>Belgium</v>
      </c>
      <c r="S26" s="10" t="str">
        <f>IFERROR(INDEX(Players!$E$2:$E$1249,MATCH($P26,Players!$A$2:$A$1249,0)),"")</f>
        <v>FW</v>
      </c>
      <c r="T26" s="10">
        <f>COUNTIF(Goals!$C$2:$C$309,$P26)</f>
        <v>3</v>
      </c>
      <c r="V26" s="10" t="s">
        <v>55</v>
      </c>
      <c r="W26" s="10">
        <f t="shared" si="4"/>
        <v>10</v>
      </c>
      <c r="X26" s="10">
        <f t="shared" si="5"/>
        <v>11</v>
      </c>
      <c r="Y26" s="10">
        <f t="shared" si="6"/>
        <v>53</v>
      </c>
      <c r="Z26" s="10">
        <f t="shared" si="7"/>
        <v>45</v>
      </c>
    </row>
    <row r="27" spans="1:27" x14ac:dyDescent="0.3">
      <c r="A27" s="10">
        <v>29</v>
      </c>
      <c r="B27" s="10" t="str">
        <f>IFERROR(INDEX(Teams!$B$2:$B$49,MATCH($A27,Teams!$A$2:$A$49,0)),"")</f>
        <v>Ghana</v>
      </c>
      <c r="C27" s="10" t="str">
        <f>IFERROR(INDEX(Teams!$D$2:$D$49,MATCH($A27,Teams!$A$2:$A$49,0)),"")</f>
        <v>CAF</v>
      </c>
      <c r="D27" s="10" t="str">
        <f>IFERROR(INDEX(Teams!$E$2:$E$49,MATCH($A27,Teams!$A$2:$A$49,0)),"")</f>
        <v>Group L</v>
      </c>
      <c r="E27" s="10">
        <f>COUNTIF(MatchTeamStats!$F$2:$F$209,$A27)</f>
        <v>4</v>
      </c>
      <c r="F27" s="10">
        <f>COUNTIFS(MatchTeamStats!$F$2:$F$209,$A27,MatchTeamStats!$L$2:$L$209,"Win")</f>
        <v>1</v>
      </c>
      <c r="G27" s="10">
        <f>COUNTIFS(MatchTeamStats!$F$2:$F$209,$A27,MatchTeamStats!$L$2:$L$209,"Draw")</f>
        <v>1</v>
      </c>
      <c r="H27" s="10">
        <f>COUNTIFS(MatchTeamStats!$F$2:$F$209,$A27,MatchTeamStats!$L$2:$L$209,"Loss")</f>
        <v>2</v>
      </c>
      <c r="I27" s="10">
        <f>SUMIFS(MatchTeamStats!$J$2:$J$209,MatchTeamStats!$F$2:$F$209,$A27)</f>
        <v>2</v>
      </c>
      <c r="J27" s="10">
        <f>SUMIFS(MatchTeamStats!$K$2:$K$209,MatchTeamStats!$F$2:$F$209,$A27)</f>
        <v>3</v>
      </c>
      <c r="K27" s="10">
        <f t="shared" si="0"/>
        <v>-1</v>
      </c>
      <c r="L27" s="10">
        <f>SUMIFS(MatchTeamStats!$V$2:$V$209,MatchTeamStats!$F$2:$F$209,$A27)</f>
        <v>4</v>
      </c>
      <c r="M27" s="11">
        <f t="shared" si="1"/>
        <v>0.25</v>
      </c>
      <c r="O27" s="10">
        <v>12</v>
      </c>
      <c r="P27" s="10">
        <v>113</v>
      </c>
      <c r="Q27" s="10" t="str">
        <f>IFERROR(INDEX(Players!$B$2:$B$1249,MATCH($P27,Players!$A$2:$A$1249,0)),"")</f>
        <v>Romelu Lukaku</v>
      </c>
      <c r="R27" s="10" t="str">
        <f>IFERROR(INDEX(Players!$D$2:$D$1249,MATCH($P27,Players!$A$2:$A$1249,0)),"")</f>
        <v>Belgium</v>
      </c>
      <c r="S27" s="10" t="str">
        <f>IFERROR(INDEX(Players!$E$2:$E$1249,MATCH($P27,Players!$A$2:$A$1249,0)),"")</f>
        <v>FW</v>
      </c>
      <c r="T27" s="10">
        <f>COUNTIF(Goals!$C$2:$C$309,$P27)</f>
        <v>3</v>
      </c>
      <c r="V27" s="10" t="s">
        <v>56</v>
      </c>
      <c r="W27" s="10">
        <f t="shared" si="4"/>
        <v>9</v>
      </c>
      <c r="X27" s="10">
        <f t="shared" si="5"/>
        <v>3</v>
      </c>
      <c r="Y27" s="10">
        <f t="shared" si="6"/>
        <v>25</v>
      </c>
      <c r="Z27" s="10">
        <f t="shared" si="7"/>
        <v>19</v>
      </c>
    </row>
    <row r="28" spans="1:27" x14ac:dyDescent="0.3">
      <c r="A28" s="10">
        <v>24</v>
      </c>
      <c r="B28" s="10" t="str">
        <f>IFERROR(INDEX(Teams!$B$2:$B$49,MATCH($A28,Teams!$A$2:$A$49,0)),"")</f>
        <v>South Africa</v>
      </c>
      <c r="C28" s="10" t="str">
        <f>IFERROR(INDEX(Teams!$D$2:$D$49,MATCH($A28,Teams!$A$2:$A$49,0)),"")</f>
        <v>CAF</v>
      </c>
      <c r="D28" s="10" t="str">
        <f>IFERROR(INDEX(Teams!$E$2:$E$49,MATCH($A28,Teams!$A$2:$A$49,0)),"")</f>
        <v>Group A</v>
      </c>
      <c r="E28" s="10">
        <f>COUNTIF(MatchTeamStats!$F$2:$F$209,$A28)</f>
        <v>4</v>
      </c>
      <c r="F28" s="10">
        <f>COUNTIFS(MatchTeamStats!$F$2:$F$209,$A28,MatchTeamStats!$L$2:$L$209,"Win")</f>
        <v>1</v>
      </c>
      <c r="G28" s="10">
        <f>COUNTIFS(MatchTeamStats!$F$2:$F$209,$A28,MatchTeamStats!$L$2:$L$209,"Draw")</f>
        <v>1</v>
      </c>
      <c r="H28" s="10">
        <f>COUNTIFS(MatchTeamStats!$F$2:$F$209,$A28,MatchTeamStats!$L$2:$L$209,"Loss")</f>
        <v>2</v>
      </c>
      <c r="I28" s="10">
        <f>SUMIFS(MatchTeamStats!$J$2:$J$209,MatchTeamStats!$F$2:$F$209,$A28)</f>
        <v>2</v>
      </c>
      <c r="J28" s="10">
        <f>SUMIFS(MatchTeamStats!$K$2:$K$209,MatchTeamStats!$F$2:$F$209,$A28)</f>
        <v>4</v>
      </c>
      <c r="K28" s="10">
        <f t="shared" si="0"/>
        <v>-2</v>
      </c>
      <c r="L28" s="10">
        <f>SUMIFS(MatchTeamStats!$V$2:$V$209,MatchTeamStats!$F$2:$F$209,$A28)</f>
        <v>4</v>
      </c>
      <c r="M28" s="11">
        <f t="shared" si="1"/>
        <v>0.25</v>
      </c>
      <c r="O28" s="10">
        <v>13</v>
      </c>
      <c r="P28" s="10">
        <v>165</v>
      </c>
      <c r="Q28" s="10" t="str">
        <f>IFERROR(INDEX(Players!$B$2:$B$1249,MATCH($P28,Players!$A$2:$A$1249,0)),"")</f>
        <v>Matheus Cunha</v>
      </c>
      <c r="R28" s="10" t="str">
        <f>IFERROR(INDEX(Players!$D$2:$D$1249,MATCH($P28,Players!$A$2:$A$1249,0)),"")</f>
        <v>Brazil</v>
      </c>
      <c r="S28" s="10" t="str">
        <f>IFERROR(INDEX(Players!$E$2:$E$1249,MATCH($P28,Players!$A$2:$A$1249,0)),"")</f>
        <v>FW</v>
      </c>
      <c r="T28" s="10">
        <f>COUNTIF(Goals!$C$2:$C$309,$P28)</f>
        <v>3</v>
      </c>
      <c r="V28" s="10" t="s">
        <v>57</v>
      </c>
      <c r="W28" s="10">
        <f t="shared" si="4"/>
        <v>6</v>
      </c>
      <c r="X28" s="10">
        <f t="shared" si="5"/>
        <v>15</v>
      </c>
      <c r="Y28" s="10">
        <f t="shared" si="6"/>
        <v>42</v>
      </c>
      <c r="Z28" s="10">
        <f t="shared" si="7"/>
        <v>53</v>
      </c>
    </row>
    <row r="29" spans="1:27" x14ac:dyDescent="0.3">
      <c r="A29" s="10">
        <v>28</v>
      </c>
      <c r="B29" s="10" t="str">
        <f>IFERROR(INDEX(Teams!$B$2:$B$49,MATCH($A29,Teams!$A$2:$A$49,0)),"")</f>
        <v>Ecuador</v>
      </c>
      <c r="C29" s="10" t="str">
        <f>IFERROR(INDEX(Teams!$D$2:$D$49,MATCH($A29,Teams!$A$2:$A$49,0)),"")</f>
        <v>CONMEBOL</v>
      </c>
      <c r="D29" s="10" t="str">
        <f>IFERROR(INDEX(Teams!$E$2:$E$49,MATCH($A29,Teams!$A$2:$A$49,0)),"")</f>
        <v>Group E</v>
      </c>
      <c r="E29" s="10">
        <f>COUNTIF(MatchTeamStats!$F$2:$F$209,$A29)</f>
        <v>4</v>
      </c>
      <c r="F29" s="10">
        <f>COUNTIFS(MatchTeamStats!$F$2:$F$209,$A29,MatchTeamStats!$L$2:$L$209,"Win")</f>
        <v>1</v>
      </c>
      <c r="G29" s="10">
        <f>COUNTIFS(MatchTeamStats!$F$2:$F$209,$A29,MatchTeamStats!$L$2:$L$209,"Draw")</f>
        <v>1</v>
      </c>
      <c r="H29" s="10">
        <f>COUNTIFS(MatchTeamStats!$F$2:$F$209,$A29,MatchTeamStats!$L$2:$L$209,"Loss")</f>
        <v>2</v>
      </c>
      <c r="I29" s="10">
        <f>SUMIFS(MatchTeamStats!$J$2:$J$209,MatchTeamStats!$F$2:$F$209,$A29)</f>
        <v>2</v>
      </c>
      <c r="J29" s="10">
        <f>SUMIFS(MatchTeamStats!$K$2:$K$209,MatchTeamStats!$F$2:$F$209,$A29)</f>
        <v>4</v>
      </c>
      <c r="K29" s="10">
        <f t="shared" si="0"/>
        <v>-2</v>
      </c>
      <c r="L29" s="10">
        <f>SUMIFS(MatchTeamStats!$V$2:$V$209,MatchTeamStats!$F$2:$F$209,$A29)</f>
        <v>4</v>
      </c>
      <c r="M29" s="11">
        <f t="shared" si="1"/>
        <v>0.25</v>
      </c>
      <c r="O29" s="10">
        <v>14</v>
      </c>
      <c r="P29" s="10">
        <v>48</v>
      </c>
      <c r="Q29" s="10" t="str">
        <f>IFERROR(INDEX(Players!$B$2:$B$1249,MATCH($P29,Players!$A$2:$A$1249,0)),"")</f>
        <v>Lautaro Martinez</v>
      </c>
      <c r="R29" s="10" t="str">
        <f>IFERROR(INDEX(Players!$D$2:$D$1249,MATCH($P29,Players!$A$2:$A$1249,0)),"")</f>
        <v>Argentina</v>
      </c>
      <c r="S29" s="10" t="str">
        <f>IFERROR(INDEX(Players!$E$2:$E$1249,MATCH($P29,Players!$A$2:$A$1249,0)),"")</f>
        <v>FW</v>
      </c>
      <c r="T29" s="10">
        <f>COUNTIF(Goals!$C$2:$C$309,$P29)</f>
        <v>3</v>
      </c>
      <c r="V29" s="10" t="s">
        <v>58</v>
      </c>
      <c r="W29" s="10">
        <f t="shared" si="4"/>
        <v>6</v>
      </c>
      <c r="X29" s="10">
        <f t="shared" si="5"/>
        <v>9</v>
      </c>
      <c r="Y29" s="10">
        <f t="shared" si="6"/>
        <v>33</v>
      </c>
      <c r="Z29" s="10">
        <f t="shared" si="7"/>
        <v>29</v>
      </c>
    </row>
    <row r="30" spans="1:27" x14ac:dyDescent="0.3">
      <c r="A30" s="10">
        <v>14</v>
      </c>
      <c r="B30" s="10" t="str">
        <f>IFERROR(INDEX(Teams!$B$2:$B$49,MATCH($A30,Teams!$A$2:$A$49,0)),"")</f>
        <v>Austria</v>
      </c>
      <c r="C30" s="10" t="str">
        <f>IFERROR(INDEX(Teams!$D$2:$D$49,MATCH($A30,Teams!$A$2:$A$49,0)),"")</f>
        <v>UEFA</v>
      </c>
      <c r="D30" s="10" t="str">
        <f>IFERROR(INDEX(Teams!$E$2:$E$49,MATCH($A30,Teams!$A$2:$A$49,0)),"")</f>
        <v>Group J</v>
      </c>
      <c r="E30" s="10">
        <f>COUNTIF(MatchTeamStats!$F$2:$F$209,$A30)</f>
        <v>4</v>
      </c>
      <c r="F30" s="10">
        <f>COUNTIFS(MatchTeamStats!$F$2:$F$209,$A30,MatchTeamStats!$L$2:$L$209,"Win")</f>
        <v>1</v>
      </c>
      <c r="G30" s="10">
        <f>COUNTIFS(MatchTeamStats!$F$2:$F$209,$A30,MatchTeamStats!$L$2:$L$209,"Draw")</f>
        <v>1</v>
      </c>
      <c r="H30" s="10">
        <f>COUNTIFS(MatchTeamStats!$F$2:$F$209,$A30,MatchTeamStats!$L$2:$L$209,"Loss")</f>
        <v>2</v>
      </c>
      <c r="I30" s="10">
        <f>SUMIFS(MatchTeamStats!$J$2:$J$209,MatchTeamStats!$F$2:$F$209,$A30)</f>
        <v>6</v>
      </c>
      <c r="J30" s="10">
        <f>SUMIFS(MatchTeamStats!$K$2:$K$209,MatchTeamStats!$F$2:$F$209,$A30)</f>
        <v>9</v>
      </c>
      <c r="K30" s="10">
        <f t="shared" si="0"/>
        <v>-3</v>
      </c>
      <c r="L30" s="10">
        <f>SUMIFS(MatchTeamStats!$V$2:$V$209,MatchTeamStats!$F$2:$F$209,$A30)</f>
        <v>4</v>
      </c>
      <c r="M30" s="11">
        <f t="shared" si="1"/>
        <v>0.25</v>
      </c>
      <c r="O30" s="10">
        <v>15</v>
      </c>
      <c r="P30" s="10">
        <v>480</v>
      </c>
      <c r="Q30" s="10" t="str">
        <f>IFERROR(INDEX(Players!$B$2:$B$1249,MATCH($P30,Players!$A$2:$A$1249,0)),"")</f>
        <v>Bradley Barcola</v>
      </c>
      <c r="R30" s="10" t="str">
        <f>IFERROR(INDEX(Players!$D$2:$D$1249,MATCH($P30,Players!$A$2:$A$1249,0)),"")</f>
        <v>France</v>
      </c>
      <c r="S30" s="10" t="str">
        <f>IFERROR(INDEX(Players!$E$2:$E$1249,MATCH($P30,Players!$A$2:$A$1249,0)),"")</f>
        <v>FW</v>
      </c>
      <c r="T30" s="10">
        <f>COUNTIF(Goals!$C$2:$C$309,$P30)</f>
        <v>3</v>
      </c>
      <c r="V30" s="10" t="s">
        <v>59</v>
      </c>
      <c r="W30" s="10">
        <f t="shared" si="4"/>
        <v>1</v>
      </c>
      <c r="X30" s="10">
        <f t="shared" si="5"/>
        <v>0</v>
      </c>
      <c r="Y30" s="10">
        <f t="shared" si="6"/>
        <v>4</v>
      </c>
      <c r="Z30" s="10">
        <f t="shared" si="7"/>
        <v>1</v>
      </c>
    </row>
    <row r="31" spans="1:27" x14ac:dyDescent="0.3">
      <c r="A31" s="10">
        <v>26</v>
      </c>
      <c r="B31" s="10" t="str">
        <f>IFERROR(INDEX(Teams!$B$2:$B$49,MATCH($A31,Teams!$A$2:$A$49,0)),"")</f>
        <v>Bosnia and Herzegovina</v>
      </c>
      <c r="C31" s="10" t="str">
        <f>IFERROR(INDEX(Teams!$D$2:$D$49,MATCH($A31,Teams!$A$2:$A$49,0)),"")</f>
        <v>UEFA</v>
      </c>
      <c r="D31" s="10" t="str">
        <f>IFERROR(INDEX(Teams!$E$2:$E$49,MATCH($A31,Teams!$A$2:$A$49,0)),"")</f>
        <v>Group B</v>
      </c>
      <c r="E31" s="10">
        <f>COUNTIF(MatchTeamStats!$F$2:$F$209,$A31)</f>
        <v>4</v>
      </c>
      <c r="F31" s="10">
        <f>COUNTIFS(MatchTeamStats!$F$2:$F$209,$A31,MatchTeamStats!$L$2:$L$209,"Win")</f>
        <v>1</v>
      </c>
      <c r="G31" s="10">
        <f>COUNTIFS(MatchTeamStats!$F$2:$F$209,$A31,MatchTeamStats!$L$2:$L$209,"Draw")</f>
        <v>1</v>
      </c>
      <c r="H31" s="10">
        <f>COUNTIFS(MatchTeamStats!$F$2:$F$209,$A31,MatchTeamStats!$L$2:$L$209,"Loss")</f>
        <v>2</v>
      </c>
      <c r="I31" s="10">
        <f>SUMIFS(MatchTeamStats!$J$2:$J$209,MatchTeamStats!$F$2:$F$209,$A31)</f>
        <v>5</v>
      </c>
      <c r="J31" s="10">
        <f>SUMIFS(MatchTeamStats!$K$2:$K$209,MatchTeamStats!$F$2:$F$209,$A31)</f>
        <v>8</v>
      </c>
      <c r="K31" s="10">
        <f t="shared" si="0"/>
        <v>-3</v>
      </c>
      <c r="L31" s="10">
        <f>SUMIFS(MatchTeamStats!$V$2:$V$209,MatchTeamStats!$F$2:$F$209,$A31)</f>
        <v>4</v>
      </c>
      <c r="M31" s="11">
        <f t="shared" si="1"/>
        <v>0.25</v>
      </c>
    </row>
    <row r="32" spans="1:27" x14ac:dyDescent="0.3">
      <c r="A32" s="10">
        <v>35</v>
      </c>
      <c r="B32" s="10" t="str">
        <f>IFERROR(INDEX(Teams!$B$2:$B$49,MATCH($A32,Teams!$A$2:$A$49,0)),"")</f>
        <v>Sweden</v>
      </c>
      <c r="C32" s="10" t="str">
        <f>IFERROR(INDEX(Teams!$D$2:$D$49,MATCH($A32,Teams!$A$2:$A$49,0)),"")</f>
        <v>UEFA</v>
      </c>
      <c r="D32" s="10" t="str">
        <f>IFERROR(INDEX(Teams!$E$2:$E$49,MATCH($A32,Teams!$A$2:$A$49,0)),"")</f>
        <v>Group F</v>
      </c>
      <c r="E32" s="10">
        <f>COUNTIF(MatchTeamStats!$F$2:$F$209,$A32)</f>
        <v>4</v>
      </c>
      <c r="F32" s="10">
        <f>COUNTIFS(MatchTeamStats!$F$2:$F$209,$A32,MatchTeamStats!$L$2:$L$209,"Win")</f>
        <v>1</v>
      </c>
      <c r="G32" s="10">
        <f>COUNTIFS(MatchTeamStats!$F$2:$F$209,$A32,MatchTeamStats!$L$2:$L$209,"Draw")</f>
        <v>1</v>
      </c>
      <c r="H32" s="10">
        <f>COUNTIFS(MatchTeamStats!$F$2:$F$209,$A32,MatchTeamStats!$L$2:$L$209,"Loss")</f>
        <v>2</v>
      </c>
      <c r="I32" s="10">
        <f>SUMIFS(MatchTeamStats!$J$2:$J$209,MatchTeamStats!$F$2:$F$209,$A32)</f>
        <v>7</v>
      </c>
      <c r="J32" s="10">
        <f>SUMIFS(MatchTeamStats!$K$2:$K$209,MatchTeamStats!$F$2:$F$209,$A32)</f>
        <v>10</v>
      </c>
      <c r="K32" s="10">
        <f t="shared" si="0"/>
        <v>-3</v>
      </c>
      <c r="L32" s="10">
        <f>SUMIFS(MatchTeamStats!$V$2:$V$209,MatchTeamStats!$F$2:$F$209,$A32)</f>
        <v>4</v>
      </c>
      <c r="M32" s="11">
        <f t="shared" si="1"/>
        <v>0.25</v>
      </c>
    </row>
    <row r="33" spans="1:13" x14ac:dyDescent="0.3">
      <c r="A33" s="10">
        <v>25</v>
      </c>
      <c r="B33" s="10" t="str">
        <f>IFERROR(INDEX(Teams!$B$2:$B$49,MATCH($A33,Teams!$A$2:$A$49,0)),"")</f>
        <v>Algeria</v>
      </c>
      <c r="C33" s="10" t="str">
        <f>IFERROR(INDEX(Teams!$D$2:$D$49,MATCH($A33,Teams!$A$2:$A$49,0)),"")</f>
        <v>CAF</v>
      </c>
      <c r="D33" s="10" t="str">
        <f>IFERROR(INDEX(Teams!$E$2:$E$49,MATCH($A33,Teams!$A$2:$A$49,0)),"")</f>
        <v>Group J</v>
      </c>
      <c r="E33" s="10">
        <f>COUNTIF(MatchTeamStats!$F$2:$F$209,$A33)</f>
        <v>4</v>
      </c>
      <c r="F33" s="10">
        <f>COUNTIFS(MatchTeamStats!$F$2:$F$209,$A33,MatchTeamStats!$L$2:$L$209,"Win")</f>
        <v>1</v>
      </c>
      <c r="G33" s="10">
        <f>COUNTIFS(MatchTeamStats!$F$2:$F$209,$A33,MatchTeamStats!$L$2:$L$209,"Draw")</f>
        <v>1</v>
      </c>
      <c r="H33" s="10">
        <f>COUNTIFS(MatchTeamStats!$F$2:$F$209,$A33,MatchTeamStats!$L$2:$L$209,"Loss")</f>
        <v>2</v>
      </c>
      <c r="I33" s="10">
        <f>SUMIFS(MatchTeamStats!$J$2:$J$209,MatchTeamStats!$F$2:$F$209,$A33)</f>
        <v>5</v>
      </c>
      <c r="J33" s="10">
        <f>SUMIFS(MatchTeamStats!$K$2:$K$209,MatchTeamStats!$F$2:$F$209,$A33)</f>
        <v>9</v>
      </c>
      <c r="K33" s="10">
        <f t="shared" si="0"/>
        <v>-4</v>
      </c>
      <c r="L33" s="10">
        <f>SUMIFS(MatchTeamStats!$V$2:$V$209,MatchTeamStats!$F$2:$F$209,$A33)</f>
        <v>4</v>
      </c>
      <c r="M33" s="11">
        <f t="shared" si="1"/>
        <v>0.25</v>
      </c>
    </row>
    <row r="34" spans="1:13" x14ac:dyDescent="0.3">
      <c r="A34" s="10">
        <v>34</v>
      </c>
      <c r="B34" s="10" t="str">
        <f>IFERROR(INDEX(Teams!$B$2:$B$49,MATCH($A34,Teams!$A$2:$A$49,0)),"")</f>
        <v>Senegal</v>
      </c>
      <c r="C34" s="10" t="str">
        <f>IFERROR(INDEX(Teams!$D$2:$D$49,MATCH($A34,Teams!$A$2:$A$49,0)),"")</f>
        <v>CAF</v>
      </c>
      <c r="D34" s="10" t="str">
        <f>IFERROR(INDEX(Teams!$E$2:$E$49,MATCH($A34,Teams!$A$2:$A$49,0)),"")</f>
        <v>Group I</v>
      </c>
      <c r="E34" s="10">
        <f>COUNTIF(MatchTeamStats!$F$2:$F$209,$A34)</f>
        <v>4</v>
      </c>
      <c r="F34" s="10">
        <f>COUNTIFS(MatchTeamStats!$F$2:$F$209,$A34,MatchTeamStats!$L$2:$L$209,"Win")</f>
        <v>1</v>
      </c>
      <c r="G34" s="10">
        <f>COUNTIFS(MatchTeamStats!$F$2:$F$209,$A34,MatchTeamStats!$L$2:$L$209,"Draw")</f>
        <v>0</v>
      </c>
      <c r="H34" s="10">
        <f>COUNTIFS(MatchTeamStats!$F$2:$F$209,$A34,MatchTeamStats!$L$2:$L$209,"Loss")</f>
        <v>3</v>
      </c>
      <c r="I34" s="10">
        <f>SUMIFS(MatchTeamStats!$J$2:$J$209,MatchTeamStats!$F$2:$F$209,$A34)</f>
        <v>10</v>
      </c>
      <c r="J34" s="10">
        <f>SUMIFS(MatchTeamStats!$K$2:$K$209,MatchTeamStats!$F$2:$F$209,$A34)</f>
        <v>9</v>
      </c>
      <c r="K34" s="10">
        <f t="shared" si="0"/>
        <v>1</v>
      </c>
      <c r="L34" s="10">
        <f>SUMIFS(MatchTeamStats!$V$2:$V$209,MatchTeamStats!$F$2:$F$209,$A34)</f>
        <v>3</v>
      </c>
      <c r="M34" s="11">
        <f t="shared" si="1"/>
        <v>0.25</v>
      </c>
    </row>
    <row r="35" spans="1:13" x14ac:dyDescent="0.3">
      <c r="A35" s="10">
        <v>30</v>
      </c>
      <c r="B35" s="10" t="str">
        <f>IFERROR(INDEX(Teams!$B$2:$B$49,MATCH($A35,Teams!$A$2:$A$49,0)),"")</f>
        <v>IR Iran</v>
      </c>
      <c r="C35" s="10" t="str">
        <f>IFERROR(INDEX(Teams!$D$2:$D$49,MATCH($A35,Teams!$A$2:$A$49,0)),"")</f>
        <v>AFC</v>
      </c>
      <c r="D35" s="10" t="str">
        <f>IFERROR(INDEX(Teams!$E$2:$E$49,MATCH($A35,Teams!$A$2:$A$49,0)),"")</f>
        <v>Group G</v>
      </c>
      <c r="E35" s="10">
        <f>COUNTIF(MatchTeamStats!$F$2:$F$209,$A35)</f>
        <v>3</v>
      </c>
      <c r="F35" s="10">
        <f>COUNTIFS(MatchTeamStats!$F$2:$F$209,$A35,MatchTeamStats!$L$2:$L$209,"Win")</f>
        <v>0</v>
      </c>
      <c r="G35" s="10">
        <f>COUNTIFS(MatchTeamStats!$F$2:$F$209,$A35,MatchTeamStats!$L$2:$L$209,"Draw")</f>
        <v>3</v>
      </c>
      <c r="H35" s="10">
        <f>COUNTIFS(MatchTeamStats!$F$2:$F$209,$A35,MatchTeamStats!$L$2:$L$209,"Loss")</f>
        <v>0</v>
      </c>
      <c r="I35" s="10">
        <f>SUMIFS(MatchTeamStats!$J$2:$J$209,MatchTeamStats!$F$2:$F$209,$A35)</f>
        <v>3</v>
      </c>
      <c r="J35" s="10">
        <f>SUMIFS(MatchTeamStats!$K$2:$K$209,MatchTeamStats!$F$2:$F$209,$A35)</f>
        <v>3</v>
      </c>
      <c r="K35" s="10">
        <f t="shared" si="0"/>
        <v>0</v>
      </c>
      <c r="L35" s="10">
        <f>SUMIFS(MatchTeamStats!$V$2:$V$209,MatchTeamStats!$F$2:$F$209,$A35)</f>
        <v>3</v>
      </c>
      <c r="M35" s="11">
        <f t="shared" si="1"/>
        <v>0</v>
      </c>
    </row>
    <row r="36" spans="1:13" x14ac:dyDescent="0.3">
      <c r="A36" s="10">
        <v>15</v>
      </c>
      <c r="B36" s="10" t="str">
        <f>IFERROR(INDEX(Teams!$B$2:$B$49,MATCH($A36,Teams!$A$2:$A$49,0)),"")</f>
        <v>Cabo Verde</v>
      </c>
      <c r="C36" s="10" t="str">
        <f>IFERROR(INDEX(Teams!$D$2:$D$49,MATCH($A36,Teams!$A$2:$A$49,0)),"")</f>
        <v>CAF</v>
      </c>
      <c r="D36" s="10" t="str">
        <f>IFERROR(INDEX(Teams!$E$2:$E$49,MATCH($A36,Teams!$A$2:$A$49,0)),"")</f>
        <v>Group H</v>
      </c>
      <c r="E36" s="10">
        <f>COUNTIF(MatchTeamStats!$F$2:$F$209,$A36)</f>
        <v>4</v>
      </c>
      <c r="F36" s="10">
        <f>COUNTIFS(MatchTeamStats!$F$2:$F$209,$A36,MatchTeamStats!$L$2:$L$209,"Win")</f>
        <v>0</v>
      </c>
      <c r="G36" s="10">
        <f>COUNTIFS(MatchTeamStats!$F$2:$F$209,$A36,MatchTeamStats!$L$2:$L$209,"Draw")</f>
        <v>3</v>
      </c>
      <c r="H36" s="10">
        <f>COUNTIFS(MatchTeamStats!$F$2:$F$209,$A36,MatchTeamStats!$L$2:$L$209,"Loss")</f>
        <v>1</v>
      </c>
      <c r="I36" s="10">
        <f>SUMIFS(MatchTeamStats!$J$2:$J$209,MatchTeamStats!$F$2:$F$209,$A36)</f>
        <v>4</v>
      </c>
      <c r="J36" s="10">
        <f>SUMIFS(MatchTeamStats!$K$2:$K$209,MatchTeamStats!$F$2:$F$209,$A36)</f>
        <v>5</v>
      </c>
      <c r="K36" s="10">
        <f t="shared" si="0"/>
        <v>-1</v>
      </c>
      <c r="L36" s="10">
        <f>SUMIFS(MatchTeamStats!$V$2:$V$209,MatchTeamStats!$F$2:$F$209,$A36)</f>
        <v>3</v>
      </c>
      <c r="M36" s="11">
        <f t="shared" si="1"/>
        <v>0</v>
      </c>
    </row>
    <row r="37" spans="1:13" x14ac:dyDescent="0.3">
      <c r="A37" s="10">
        <v>31</v>
      </c>
      <c r="B37" s="10" t="str">
        <f>IFERROR(INDEX(Teams!$B$2:$B$49,MATCH($A37,Teams!$A$2:$A$49,0)),"")</f>
        <v>Korea Republic</v>
      </c>
      <c r="C37" s="10" t="str">
        <f>IFERROR(INDEX(Teams!$D$2:$D$49,MATCH($A37,Teams!$A$2:$A$49,0)),"")</f>
        <v>AFC</v>
      </c>
      <c r="D37" s="10" t="str">
        <f>IFERROR(INDEX(Teams!$E$2:$E$49,MATCH($A37,Teams!$A$2:$A$49,0)),"")</f>
        <v>Group A</v>
      </c>
      <c r="E37" s="10">
        <f>COUNTIF(MatchTeamStats!$F$2:$F$209,$A37)</f>
        <v>3</v>
      </c>
      <c r="F37" s="10">
        <f>COUNTIFS(MatchTeamStats!$F$2:$F$209,$A37,MatchTeamStats!$L$2:$L$209,"Win")</f>
        <v>1</v>
      </c>
      <c r="G37" s="10">
        <f>COUNTIFS(MatchTeamStats!$F$2:$F$209,$A37,MatchTeamStats!$L$2:$L$209,"Draw")</f>
        <v>0</v>
      </c>
      <c r="H37" s="10">
        <f>COUNTIFS(MatchTeamStats!$F$2:$F$209,$A37,MatchTeamStats!$L$2:$L$209,"Loss")</f>
        <v>2</v>
      </c>
      <c r="I37" s="10">
        <f>SUMIFS(MatchTeamStats!$J$2:$J$209,MatchTeamStats!$F$2:$F$209,$A37)</f>
        <v>2</v>
      </c>
      <c r="J37" s="10">
        <f>SUMIFS(MatchTeamStats!$K$2:$K$209,MatchTeamStats!$F$2:$F$209,$A37)</f>
        <v>3</v>
      </c>
      <c r="K37" s="10">
        <f t="shared" si="0"/>
        <v>-1</v>
      </c>
      <c r="L37" s="10">
        <f>SUMIFS(MatchTeamStats!$V$2:$V$209,MatchTeamStats!$F$2:$F$209,$A37)</f>
        <v>3</v>
      </c>
      <c r="M37" s="11">
        <f t="shared" si="1"/>
        <v>0.33333333333333331</v>
      </c>
    </row>
    <row r="38" spans="1:13" x14ac:dyDescent="0.3">
      <c r="A38" s="10">
        <v>47</v>
      </c>
      <c r="B38" s="10" t="str">
        <f>IFERROR(INDEX(Teams!$B$2:$B$49,MATCH($A38,Teams!$A$2:$A$49,0)),"")</f>
        <v>Türkiye</v>
      </c>
      <c r="C38" s="10" t="str">
        <f>IFERROR(INDEX(Teams!$D$2:$D$49,MATCH($A38,Teams!$A$2:$A$49,0)),"")</f>
        <v>UEFA</v>
      </c>
      <c r="D38" s="10" t="str">
        <f>IFERROR(INDEX(Teams!$E$2:$E$49,MATCH($A38,Teams!$A$2:$A$49,0)),"")</f>
        <v>Group D</v>
      </c>
      <c r="E38" s="10">
        <f>COUNTIF(MatchTeamStats!$F$2:$F$209,$A38)</f>
        <v>3</v>
      </c>
      <c r="F38" s="10">
        <f>COUNTIFS(MatchTeamStats!$F$2:$F$209,$A38,MatchTeamStats!$L$2:$L$209,"Win")</f>
        <v>1</v>
      </c>
      <c r="G38" s="10">
        <f>COUNTIFS(MatchTeamStats!$F$2:$F$209,$A38,MatchTeamStats!$L$2:$L$209,"Draw")</f>
        <v>0</v>
      </c>
      <c r="H38" s="10">
        <f>COUNTIFS(MatchTeamStats!$F$2:$F$209,$A38,MatchTeamStats!$L$2:$L$209,"Loss")</f>
        <v>2</v>
      </c>
      <c r="I38" s="10">
        <f>SUMIFS(MatchTeamStats!$J$2:$J$209,MatchTeamStats!$F$2:$F$209,$A38)</f>
        <v>3</v>
      </c>
      <c r="J38" s="10">
        <f>SUMIFS(MatchTeamStats!$K$2:$K$209,MatchTeamStats!$F$2:$F$209,$A38)</f>
        <v>5</v>
      </c>
      <c r="K38" s="10">
        <f t="shared" si="0"/>
        <v>-2</v>
      </c>
      <c r="L38" s="10">
        <f>SUMIFS(MatchTeamStats!$V$2:$V$209,MatchTeamStats!$F$2:$F$209,$A38)</f>
        <v>3</v>
      </c>
      <c r="M38" s="11">
        <f t="shared" si="1"/>
        <v>0.33333333333333331</v>
      </c>
    </row>
    <row r="39" spans="1:13" x14ac:dyDescent="0.3">
      <c r="A39" s="10">
        <v>33</v>
      </c>
      <c r="B39" s="10" t="str">
        <f>IFERROR(INDEX(Teams!$B$2:$B$49,MATCH($A39,Teams!$A$2:$A$49,0)),"")</f>
        <v>Scotland</v>
      </c>
      <c r="C39" s="10" t="str">
        <f>IFERROR(INDEX(Teams!$D$2:$D$49,MATCH($A39,Teams!$A$2:$A$49,0)),"")</f>
        <v>UEFA</v>
      </c>
      <c r="D39" s="10" t="str">
        <f>IFERROR(INDEX(Teams!$E$2:$E$49,MATCH($A39,Teams!$A$2:$A$49,0)),"")</f>
        <v>Group C</v>
      </c>
      <c r="E39" s="10">
        <f>COUNTIF(MatchTeamStats!$F$2:$F$209,$A39)</f>
        <v>3</v>
      </c>
      <c r="F39" s="10">
        <f>COUNTIFS(MatchTeamStats!$F$2:$F$209,$A39,MatchTeamStats!$L$2:$L$209,"Win")</f>
        <v>1</v>
      </c>
      <c r="G39" s="10">
        <f>COUNTIFS(MatchTeamStats!$F$2:$F$209,$A39,MatchTeamStats!$L$2:$L$209,"Draw")</f>
        <v>0</v>
      </c>
      <c r="H39" s="10">
        <f>COUNTIFS(MatchTeamStats!$F$2:$F$209,$A39,MatchTeamStats!$L$2:$L$209,"Loss")</f>
        <v>2</v>
      </c>
      <c r="I39" s="10">
        <f>SUMIFS(MatchTeamStats!$J$2:$J$209,MatchTeamStats!$F$2:$F$209,$A39)</f>
        <v>1</v>
      </c>
      <c r="J39" s="10">
        <f>SUMIFS(MatchTeamStats!$K$2:$K$209,MatchTeamStats!$F$2:$F$209,$A39)</f>
        <v>4</v>
      </c>
      <c r="K39" s="10">
        <f t="shared" si="0"/>
        <v>-3</v>
      </c>
      <c r="L39" s="10">
        <f>SUMIFS(MatchTeamStats!$V$2:$V$209,MatchTeamStats!$F$2:$F$209,$A39)</f>
        <v>3</v>
      </c>
      <c r="M39" s="11">
        <f t="shared" si="1"/>
        <v>0.33333333333333331</v>
      </c>
    </row>
    <row r="40" spans="1:13" x14ac:dyDescent="0.3">
      <c r="A40" s="10">
        <v>36</v>
      </c>
      <c r="B40" s="10" t="str">
        <f>IFERROR(INDEX(Teams!$B$2:$B$49,MATCH($A40,Teams!$A$2:$A$49,0)),"")</f>
        <v>Uruguay</v>
      </c>
      <c r="C40" s="10" t="str">
        <f>IFERROR(INDEX(Teams!$D$2:$D$49,MATCH($A40,Teams!$A$2:$A$49,0)),"")</f>
        <v>CONMEBOL</v>
      </c>
      <c r="D40" s="10" t="str">
        <f>IFERROR(INDEX(Teams!$E$2:$E$49,MATCH($A40,Teams!$A$2:$A$49,0)),"")</f>
        <v>Group H</v>
      </c>
      <c r="E40" s="10">
        <f>COUNTIF(MatchTeamStats!$F$2:$F$209,$A40)</f>
        <v>3</v>
      </c>
      <c r="F40" s="10">
        <f>COUNTIFS(MatchTeamStats!$F$2:$F$209,$A40,MatchTeamStats!$L$2:$L$209,"Win")</f>
        <v>0</v>
      </c>
      <c r="G40" s="10">
        <f>COUNTIFS(MatchTeamStats!$F$2:$F$209,$A40,MatchTeamStats!$L$2:$L$209,"Draw")</f>
        <v>2</v>
      </c>
      <c r="H40" s="10">
        <f>COUNTIFS(MatchTeamStats!$F$2:$F$209,$A40,MatchTeamStats!$L$2:$L$209,"Loss")</f>
        <v>1</v>
      </c>
      <c r="I40" s="10">
        <f>SUMIFS(MatchTeamStats!$J$2:$J$209,MatchTeamStats!$F$2:$F$209,$A40)</f>
        <v>3</v>
      </c>
      <c r="J40" s="10">
        <f>SUMIFS(MatchTeamStats!$K$2:$K$209,MatchTeamStats!$F$2:$F$209,$A40)</f>
        <v>4</v>
      </c>
      <c r="K40" s="10">
        <f t="shared" si="0"/>
        <v>-1</v>
      </c>
      <c r="L40" s="10">
        <f>SUMIFS(MatchTeamStats!$V$2:$V$209,MatchTeamStats!$F$2:$F$209,$A40)</f>
        <v>2</v>
      </c>
      <c r="M40" s="11">
        <f t="shared" si="1"/>
        <v>0</v>
      </c>
    </row>
    <row r="41" spans="1:13" x14ac:dyDescent="0.3">
      <c r="A41" s="10">
        <v>45</v>
      </c>
      <c r="B41" s="10" t="str">
        <f>IFERROR(INDEX(Teams!$B$2:$B$49,MATCH($A41,Teams!$A$2:$A$49,0)),"")</f>
        <v>Saudi Arabia</v>
      </c>
      <c r="C41" s="10" t="str">
        <f>IFERROR(INDEX(Teams!$D$2:$D$49,MATCH($A41,Teams!$A$2:$A$49,0)),"")</f>
        <v>AFC</v>
      </c>
      <c r="D41" s="10" t="str">
        <f>IFERROR(INDEX(Teams!$E$2:$E$49,MATCH($A41,Teams!$A$2:$A$49,0)),"")</f>
        <v>Group H</v>
      </c>
      <c r="E41" s="10">
        <f>COUNTIF(MatchTeamStats!$F$2:$F$209,$A41)</f>
        <v>3</v>
      </c>
      <c r="F41" s="10">
        <f>COUNTIFS(MatchTeamStats!$F$2:$F$209,$A41,MatchTeamStats!$L$2:$L$209,"Win")</f>
        <v>0</v>
      </c>
      <c r="G41" s="10">
        <f>COUNTIFS(MatchTeamStats!$F$2:$F$209,$A41,MatchTeamStats!$L$2:$L$209,"Draw")</f>
        <v>2</v>
      </c>
      <c r="H41" s="10">
        <f>COUNTIFS(MatchTeamStats!$F$2:$F$209,$A41,MatchTeamStats!$L$2:$L$209,"Loss")</f>
        <v>1</v>
      </c>
      <c r="I41" s="10">
        <f>SUMIFS(MatchTeamStats!$J$2:$J$209,MatchTeamStats!$F$2:$F$209,$A41)</f>
        <v>1</v>
      </c>
      <c r="J41" s="10">
        <f>SUMIFS(MatchTeamStats!$K$2:$K$209,MatchTeamStats!$F$2:$F$209,$A41)</f>
        <v>5</v>
      </c>
      <c r="K41" s="10">
        <f t="shared" si="0"/>
        <v>-4</v>
      </c>
      <c r="L41" s="10">
        <f>SUMIFS(MatchTeamStats!$V$2:$V$209,MatchTeamStats!$F$2:$F$209,$A41)</f>
        <v>2</v>
      </c>
      <c r="M41" s="11">
        <f t="shared" si="1"/>
        <v>0</v>
      </c>
    </row>
    <row r="42" spans="1:13" x14ac:dyDescent="0.3">
      <c r="A42" s="10">
        <v>38</v>
      </c>
      <c r="B42" s="10" t="str">
        <f>IFERROR(INDEX(Teams!$B$2:$B$49,MATCH($A42,Teams!$A$2:$A$49,0)),"")</f>
        <v>Czechia</v>
      </c>
      <c r="C42" s="10" t="str">
        <f>IFERROR(INDEX(Teams!$D$2:$D$49,MATCH($A42,Teams!$A$2:$A$49,0)),"")</f>
        <v>UEFA</v>
      </c>
      <c r="D42" s="10" t="str">
        <f>IFERROR(INDEX(Teams!$E$2:$E$49,MATCH($A42,Teams!$A$2:$A$49,0)),"")</f>
        <v>Group A</v>
      </c>
      <c r="E42" s="10">
        <f>COUNTIF(MatchTeamStats!$F$2:$F$209,$A42)</f>
        <v>3</v>
      </c>
      <c r="F42" s="10">
        <f>COUNTIFS(MatchTeamStats!$F$2:$F$209,$A42,MatchTeamStats!$L$2:$L$209,"Win")</f>
        <v>0</v>
      </c>
      <c r="G42" s="10">
        <f>COUNTIFS(MatchTeamStats!$F$2:$F$209,$A42,MatchTeamStats!$L$2:$L$209,"Draw")</f>
        <v>1</v>
      </c>
      <c r="H42" s="10">
        <f>COUNTIFS(MatchTeamStats!$F$2:$F$209,$A42,MatchTeamStats!$L$2:$L$209,"Loss")</f>
        <v>2</v>
      </c>
      <c r="I42" s="10">
        <f>SUMIFS(MatchTeamStats!$J$2:$J$209,MatchTeamStats!$F$2:$F$209,$A42)</f>
        <v>2</v>
      </c>
      <c r="J42" s="10">
        <f>SUMIFS(MatchTeamStats!$K$2:$K$209,MatchTeamStats!$F$2:$F$209,$A42)</f>
        <v>6</v>
      </c>
      <c r="K42" s="10">
        <f t="shared" si="0"/>
        <v>-4</v>
      </c>
      <c r="L42" s="10">
        <f>SUMIFS(MatchTeamStats!$V$2:$V$209,MatchTeamStats!$F$2:$F$209,$A42)</f>
        <v>1</v>
      </c>
      <c r="M42" s="11">
        <f t="shared" si="1"/>
        <v>0</v>
      </c>
    </row>
    <row r="43" spans="1:13" x14ac:dyDescent="0.3">
      <c r="A43" s="10">
        <v>42</v>
      </c>
      <c r="B43" s="10" t="str">
        <f>IFERROR(INDEX(Teams!$B$2:$B$49,MATCH($A43,Teams!$A$2:$A$49,0)),"")</f>
        <v>New Zealand</v>
      </c>
      <c r="C43" s="10" t="str">
        <f>IFERROR(INDEX(Teams!$D$2:$D$49,MATCH($A43,Teams!$A$2:$A$49,0)),"")</f>
        <v>OFC</v>
      </c>
      <c r="D43" s="10" t="str">
        <f>IFERROR(INDEX(Teams!$E$2:$E$49,MATCH($A43,Teams!$A$2:$A$49,0)),"")</f>
        <v>Group G</v>
      </c>
      <c r="E43" s="10">
        <f>COUNTIF(MatchTeamStats!$F$2:$F$209,$A43)</f>
        <v>3</v>
      </c>
      <c r="F43" s="10">
        <f>COUNTIFS(MatchTeamStats!$F$2:$F$209,$A43,MatchTeamStats!$L$2:$L$209,"Win")</f>
        <v>0</v>
      </c>
      <c r="G43" s="10">
        <f>COUNTIFS(MatchTeamStats!$F$2:$F$209,$A43,MatchTeamStats!$L$2:$L$209,"Draw")</f>
        <v>1</v>
      </c>
      <c r="H43" s="10">
        <f>COUNTIFS(MatchTeamStats!$F$2:$F$209,$A43,MatchTeamStats!$L$2:$L$209,"Loss")</f>
        <v>2</v>
      </c>
      <c r="I43" s="10">
        <f>SUMIFS(MatchTeamStats!$J$2:$J$209,MatchTeamStats!$F$2:$F$209,$A43)</f>
        <v>4</v>
      </c>
      <c r="J43" s="10">
        <f>SUMIFS(MatchTeamStats!$K$2:$K$209,MatchTeamStats!$F$2:$F$209,$A43)</f>
        <v>10</v>
      </c>
      <c r="K43" s="10">
        <f t="shared" si="0"/>
        <v>-6</v>
      </c>
      <c r="L43" s="10">
        <f>SUMIFS(MatchTeamStats!$V$2:$V$209,MatchTeamStats!$F$2:$F$209,$A43)</f>
        <v>1</v>
      </c>
      <c r="M43" s="11">
        <f t="shared" si="1"/>
        <v>0</v>
      </c>
    </row>
    <row r="44" spans="1:13" x14ac:dyDescent="0.3">
      <c r="A44" s="10">
        <v>37</v>
      </c>
      <c r="B44" s="10" t="str">
        <f>IFERROR(INDEX(Teams!$B$2:$B$49,MATCH($A44,Teams!$A$2:$A$49,0)),"")</f>
        <v>Curaçao</v>
      </c>
      <c r="C44" s="10" t="str">
        <f>IFERROR(INDEX(Teams!$D$2:$D$49,MATCH($A44,Teams!$A$2:$A$49,0)),"")</f>
        <v>CONCACAF</v>
      </c>
      <c r="D44" s="10" t="str">
        <f>IFERROR(INDEX(Teams!$E$2:$E$49,MATCH($A44,Teams!$A$2:$A$49,0)),"")</f>
        <v>Group E</v>
      </c>
      <c r="E44" s="10">
        <f>COUNTIF(MatchTeamStats!$F$2:$F$209,$A44)</f>
        <v>3</v>
      </c>
      <c r="F44" s="10">
        <f>COUNTIFS(MatchTeamStats!$F$2:$F$209,$A44,MatchTeamStats!$L$2:$L$209,"Win")</f>
        <v>0</v>
      </c>
      <c r="G44" s="10">
        <f>COUNTIFS(MatchTeamStats!$F$2:$F$209,$A44,MatchTeamStats!$L$2:$L$209,"Draw")</f>
        <v>1</v>
      </c>
      <c r="H44" s="10">
        <f>COUNTIFS(MatchTeamStats!$F$2:$F$209,$A44,MatchTeamStats!$L$2:$L$209,"Loss")</f>
        <v>2</v>
      </c>
      <c r="I44" s="10">
        <f>SUMIFS(MatchTeamStats!$J$2:$J$209,MatchTeamStats!$F$2:$F$209,$A44)</f>
        <v>1</v>
      </c>
      <c r="J44" s="10">
        <f>SUMIFS(MatchTeamStats!$K$2:$K$209,MatchTeamStats!$F$2:$F$209,$A44)</f>
        <v>9</v>
      </c>
      <c r="K44" s="10">
        <f t="shared" si="0"/>
        <v>-8</v>
      </c>
      <c r="L44" s="10">
        <f>SUMIFS(MatchTeamStats!$V$2:$V$209,MatchTeamStats!$F$2:$F$209,$A44)</f>
        <v>1</v>
      </c>
      <c r="M44" s="11">
        <f t="shared" si="1"/>
        <v>0</v>
      </c>
    </row>
    <row r="45" spans="1:13" x14ac:dyDescent="0.3">
      <c r="A45" s="10">
        <v>44</v>
      </c>
      <c r="B45" s="10" t="str">
        <f>IFERROR(INDEX(Teams!$B$2:$B$49,MATCH($A45,Teams!$A$2:$A$49,0)),"")</f>
        <v>Qatar</v>
      </c>
      <c r="C45" s="10" t="str">
        <f>IFERROR(INDEX(Teams!$D$2:$D$49,MATCH($A45,Teams!$A$2:$A$49,0)),"")</f>
        <v>AFC</v>
      </c>
      <c r="D45" s="10" t="str">
        <f>IFERROR(INDEX(Teams!$E$2:$E$49,MATCH($A45,Teams!$A$2:$A$49,0)),"")</f>
        <v>Group B</v>
      </c>
      <c r="E45" s="10">
        <f>COUNTIF(MatchTeamStats!$F$2:$F$209,$A45)</f>
        <v>3</v>
      </c>
      <c r="F45" s="10">
        <f>COUNTIFS(MatchTeamStats!$F$2:$F$209,$A45,MatchTeamStats!$L$2:$L$209,"Win")</f>
        <v>0</v>
      </c>
      <c r="G45" s="10">
        <f>COUNTIFS(MatchTeamStats!$F$2:$F$209,$A45,MatchTeamStats!$L$2:$L$209,"Draw")</f>
        <v>1</v>
      </c>
      <c r="H45" s="10">
        <f>COUNTIFS(MatchTeamStats!$F$2:$F$209,$A45,MatchTeamStats!$L$2:$L$209,"Loss")</f>
        <v>2</v>
      </c>
      <c r="I45" s="10">
        <f>SUMIFS(MatchTeamStats!$J$2:$J$209,MatchTeamStats!$F$2:$F$209,$A45)</f>
        <v>2</v>
      </c>
      <c r="J45" s="10">
        <f>SUMIFS(MatchTeamStats!$K$2:$K$209,MatchTeamStats!$F$2:$F$209,$A45)</f>
        <v>10</v>
      </c>
      <c r="K45" s="10">
        <f t="shared" si="0"/>
        <v>-8</v>
      </c>
      <c r="L45" s="10">
        <f>SUMIFS(MatchTeamStats!$V$2:$V$209,MatchTeamStats!$F$2:$F$209,$A45)</f>
        <v>1</v>
      </c>
      <c r="M45" s="11">
        <f t="shared" si="1"/>
        <v>0</v>
      </c>
    </row>
    <row r="46" spans="1:13" x14ac:dyDescent="0.3">
      <c r="A46" s="10">
        <v>43</v>
      </c>
      <c r="B46" s="10" t="str">
        <f>IFERROR(INDEX(Teams!$B$2:$B$49,MATCH($A46,Teams!$A$2:$A$49,0)),"")</f>
        <v>Panama</v>
      </c>
      <c r="C46" s="10" t="str">
        <f>IFERROR(INDEX(Teams!$D$2:$D$49,MATCH($A46,Teams!$A$2:$A$49,0)),"")</f>
        <v>CONCACAF</v>
      </c>
      <c r="D46" s="10" t="str">
        <f>IFERROR(INDEX(Teams!$E$2:$E$49,MATCH($A46,Teams!$A$2:$A$49,0)),"")</f>
        <v>Group L</v>
      </c>
      <c r="E46" s="10">
        <f>COUNTIF(MatchTeamStats!$F$2:$F$209,$A46)</f>
        <v>3</v>
      </c>
      <c r="F46" s="10">
        <f>COUNTIFS(MatchTeamStats!$F$2:$F$209,$A46,MatchTeamStats!$L$2:$L$209,"Win")</f>
        <v>0</v>
      </c>
      <c r="G46" s="10">
        <f>COUNTIFS(MatchTeamStats!$F$2:$F$209,$A46,MatchTeamStats!$L$2:$L$209,"Draw")</f>
        <v>0</v>
      </c>
      <c r="H46" s="10">
        <f>COUNTIFS(MatchTeamStats!$F$2:$F$209,$A46,MatchTeamStats!$L$2:$L$209,"Loss")</f>
        <v>3</v>
      </c>
      <c r="I46" s="10">
        <f>SUMIFS(MatchTeamStats!$J$2:$J$209,MatchTeamStats!$F$2:$F$209,$A46)</f>
        <v>0</v>
      </c>
      <c r="J46" s="10">
        <f>SUMIFS(MatchTeamStats!$K$2:$K$209,MatchTeamStats!$F$2:$F$209,$A46)</f>
        <v>4</v>
      </c>
      <c r="K46" s="10">
        <f t="shared" si="0"/>
        <v>-4</v>
      </c>
      <c r="L46" s="10">
        <f>SUMIFS(MatchTeamStats!$V$2:$V$209,MatchTeamStats!$F$2:$F$209,$A46)</f>
        <v>0</v>
      </c>
      <c r="M46" s="11">
        <f t="shared" si="1"/>
        <v>0</v>
      </c>
    </row>
    <row r="47" spans="1:13" x14ac:dyDescent="0.3">
      <c r="A47" s="10">
        <v>41</v>
      </c>
      <c r="B47" s="10" t="str">
        <f>IFERROR(INDEX(Teams!$B$2:$B$49,MATCH($A47,Teams!$A$2:$A$49,0)),"")</f>
        <v>Jordan</v>
      </c>
      <c r="C47" s="10" t="str">
        <f>IFERROR(INDEX(Teams!$D$2:$D$49,MATCH($A47,Teams!$A$2:$A$49,0)),"")</f>
        <v>AFC</v>
      </c>
      <c r="D47" s="10" t="str">
        <f>IFERROR(INDEX(Teams!$E$2:$E$49,MATCH($A47,Teams!$A$2:$A$49,0)),"")</f>
        <v>Group J</v>
      </c>
      <c r="E47" s="10">
        <f>COUNTIF(MatchTeamStats!$F$2:$F$209,$A47)</f>
        <v>3</v>
      </c>
      <c r="F47" s="10">
        <f>COUNTIFS(MatchTeamStats!$F$2:$F$209,$A47,MatchTeamStats!$L$2:$L$209,"Win")</f>
        <v>0</v>
      </c>
      <c r="G47" s="10">
        <f>COUNTIFS(MatchTeamStats!$F$2:$F$209,$A47,MatchTeamStats!$L$2:$L$209,"Draw")</f>
        <v>0</v>
      </c>
      <c r="H47" s="10">
        <f>COUNTIFS(MatchTeamStats!$F$2:$F$209,$A47,MatchTeamStats!$L$2:$L$209,"Loss")</f>
        <v>3</v>
      </c>
      <c r="I47" s="10">
        <f>SUMIFS(MatchTeamStats!$J$2:$J$209,MatchTeamStats!$F$2:$F$209,$A47)</f>
        <v>3</v>
      </c>
      <c r="J47" s="10">
        <f>SUMIFS(MatchTeamStats!$K$2:$K$209,MatchTeamStats!$F$2:$F$209,$A47)</f>
        <v>8</v>
      </c>
      <c r="K47" s="10">
        <f t="shared" si="0"/>
        <v>-5</v>
      </c>
      <c r="L47" s="10">
        <f>SUMIFS(MatchTeamStats!$V$2:$V$209,MatchTeamStats!$F$2:$F$209,$A47)</f>
        <v>0</v>
      </c>
      <c r="M47" s="11">
        <f t="shared" si="1"/>
        <v>0</v>
      </c>
    </row>
    <row r="48" spans="1:13" x14ac:dyDescent="0.3">
      <c r="A48" s="10">
        <v>39</v>
      </c>
      <c r="B48" s="10" t="str">
        <f>IFERROR(INDEX(Teams!$B$2:$B$49,MATCH($A48,Teams!$A$2:$A$49,0)),"")</f>
        <v>Haiti</v>
      </c>
      <c r="C48" s="10" t="str">
        <f>IFERROR(INDEX(Teams!$D$2:$D$49,MATCH($A48,Teams!$A$2:$A$49,0)),"")</f>
        <v>CONCACAF</v>
      </c>
      <c r="D48" s="10" t="str">
        <f>IFERROR(INDEX(Teams!$E$2:$E$49,MATCH($A48,Teams!$A$2:$A$49,0)),"")</f>
        <v>Group C</v>
      </c>
      <c r="E48" s="10">
        <f>COUNTIF(MatchTeamStats!$F$2:$F$209,$A48)</f>
        <v>3</v>
      </c>
      <c r="F48" s="10">
        <f>COUNTIFS(MatchTeamStats!$F$2:$F$209,$A48,MatchTeamStats!$L$2:$L$209,"Win")</f>
        <v>0</v>
      </c>
      <c r="G48" s="10">
        <f>COUNTIFS(MatchTeamStats!$F$2:$F$209,$A48,MatchTeamStats!$L$2:$L$209,"Draw")</f>
        <v>0</v>
      </c>
      <c r="H48" s="10">
        <f>COUNTIFS(MatchTeamStats!$F$2:$F$209,$A48,MatchTeamStats!$L$2:$L$209,"Loss")</f>
        <v>3</v>
      </c>
      <c r="I48" s="10">
        <f>SUMIFS(MatchTeamStats!$J$2:$J$209,MatchTeamStats!$F$2:$F$209,$A48)</f>
        <v>2</v>
      </c>
      <c r="J48" s="10">
        <f>SUMIFS(MatchTeamStats!$K$2:$K$209,MatchTeamStats!$F$2:$F$209,$A48)</f>
        <v>8</v>
      </c>
      <c r="K48" s="10">
        <f t="shared" si="0"/>
        <v>-6</v>
      </c>
      <c r="L48" s="10">
        <f>SUMIFS(MatchTeamStats!$V$2:$V$209,MatchTeamStats!$F$2:$F$209,$A48)</f>
        <v>0</v>
      </c>
      <c r="M48" s="11">
        <f t="shared" si="1"/>
        <v>0</v>
      </c>
    </row>
    <row r="49" spans="1:13" x14ac:dyDescent="0.3">
      <c r="A49" s="10">
        <v>48</v>
      </c>
      <c r="B49" s="10" t="str">
        <f>IFERROR(INDEX(Teams!$B$2:$B$49,MATCH($A49,Teams!$A$2:$A$49,0)),"")</f>
        <v>Uzbekistan</v>
      </c>
      <c r="C49" s="10" t="str">
        <f>IFERROR(INDEX(Teams!$D$2:$D$49,MATCH($A49,Teams!$A$2:$A$49,0)),"")</f>
        <v>AFC</v>
      </c>
      <c r="D49" s="10" t="str">
        <f>IFERROR(INDEX(Teams!$E$2:$E$49,MATCH($A49,Teams!$A$2:$A$49,0)),"")</f>
        <v>Group K</v>
      </c>
      <c r="E49" s="10">
        <f>COUNTIF(MatchTeamStats!$F$2:$F$209,$A49)</f>
        <v>3</v>
      </c>
      <c r="F49" s="10">
        <f>COUNTIFS(MatchTeamStats!$F$2:$F$209,$A49,MatchTeamStats!$L$2:$L$209,"Win")</f>
        <v>0</v>
      </c>
      <c r="G49" s="10">
        <f>COUNTIFS(MatchTeamStats!$F$2:$F$209,$A49,MatchTeamStats!$L$2:$L$209,"Draw")</f>
        <v>0</v>
      </c>
      <c r="H49" s="10">
        <f>COUNTIFS(MatchTeamStats!$F$2:$F$209,$A49,MatchTeamStats!$L$2:$L$209,"Loss")</f>
        <v>3</v>
      </c>
      <c r="I49" s="10">
        <f>SUMIFS(MatchTeamStats!$J$2:$J$209,MatchTeamStats!$F$2:$F$209,$A49)</f>
        <v>2</v>
      </c>
      <c r="J49" s="10">
        <f>SUMIFS(MatchTeamStats!$K$2:$K$209,MatchTeamStats!$F$2:$F$209,$A49)</f>
        <v>11</v>
      </c>
      <c r="K49" s="10">
        <f t="shared" si="0"/>
        <v>-9</v>
      </c>
      <c r="L49" s="10">
        <f>SUMIFS(MatchTeamStats!$V$2:$V$209,MatchTeamStats!$F$2:$F$209,$A49)</f>
        <v>0</v>
      </c>
      <c r="M49" s="11">
        <f t="shared" si="1"/>
        <v>0</v>
      </c>
    </row>
    <row r="50" spans="1:13" x14ac:dyDescent="0.3">
      <c r="A50" s="10">
        <v>46</v>
      </c>
      <c r="B50" s="10" t="str">
        <f>IFERROR(INDEX(Teams!$B$2:$B$49,MATCH($A50,Teams!$A$2:$A$49,0)),"")</f>
        <v>Tunisia</v>
      </c>
      <c r="C50" s="10" t="str">
        <f>IFERROR(INDEX(Teams!$D$2:$D$49,MATCH($A50,Teams!$A$2:$A$49,0)),"")</f>
        <v>CAF</v>
      </c>
      <c r="D50" s="10" t="str">
        <f>IFERROR(INDEX(Teams!$E$2:$E$49,MATCH($A50,Teams!$A$2:$A$49,0)),"")</f>
        <v>Group F</v>
      </c>
      <c r="E50" s="10">
        <f>COUNTIF(MatchTeamStats!$F$2:$F$209,$A50)</f>
        <v>3</v>
      </c>
      <c r="F50" s="10">
        <f>COUNTIFS(MatchTeamStats!$F$2:$F$209,$A50,MatchTeamStats!$L$2:$L$209,"Win")</f>
        <v>0</v>
      </c>
      <c r="G50" s="10">
        <f>COUNTIFS(MatchTeamStats!$F$2:$F$209,$A50,MatchTeamStats!$L$2:$L$209,"Draw")</f>
        <v>0</v>
      </c>
      <c r="H50" s="10">
        <f>COUNTIFS(MatchTeamStats!$F$2:$F$209,$A50,MatchTeamStats!$L$2:$L$209,"Loss")</f>
        <v>3</v>
      </c>
      <c r="I50" s="10">
        <f>SUMIFS(MatchTeamStats!$J$2:$J$209,MatchTeamStats!$F$2:$F$209,$A50)</f>
        <v>2</v>
      </c>
      <c r="J50" s="10">
        <f>SUMIFS(MatchTeamStats!$K$2:$K$209,MatchTeamStats!$F$2:$F$209,$A50)</f>
        <v>12</v>
      </c>
      <c r="K50" s="10">
        <f t="shared" si="0"/>
        <v>-10</v>
      </c>
      <c r="L50" s="10">
        <f>SUMIFS(MatchTeamStats!$V$2:$V$209,MatchTeamStats!$F$2:$F$209,$A50)</f>
        <v>0</v>
      </c>
      <c r="M50" s="11">
        <f t="shared" si="1"/>
        <v>0</v>
      </c>
    </row>
    <row r="51" spans="1:13" x14ac:dyDescent="0.3">
      <c r="A51" s="10">
        <v>40</v>
      </c>
      <c r="B51" s="10" t="str">
        <f>IFERROR(INDEX(Teams!$B$2:$B$49,MATCH($A51,Teams!$A$2:$A$49,0)),"")</f>
        <v>Iraq</v>
      </c>
      <c r="C51" s="10" t="str">
        <f>IFERROR(INDEX(Teams!$D$2:$D$49,MATCH($A51,Teams!$A$2:$A$49,0)),"")</f>
        <v>AFC</v>
      </c>
      <c r="D51" s="10" t="str">
        <f>IFERROR(INDEX(Teams!$E$2:$E$49,MATCH($A51,Teams!$A$2:$A$49,0)),"")</f>
        <v>Group I</v>
      </c>
      <c r="E51" s="10">
        <f>COUNTIF(MatchTeamStats!$F$2:$F$209,$A51)</f>
        <v>3</v>
      </c>
      <c r="F51" s="10">
        <f>COUNTIFS(MatchTeamStats!$F$2:$F$209,$A51,MatchTeamStats!$L$2:$L$209,"Win")</f>
        <v>0</v>
      </c>
      <c r="G51" s="10">
        <f>COUNTIFS(MatchTeamStats!$F$2:$F$209,$A51,MatchTeamStats!$L$2:$L$209,"Draw")</f>
        <v>0</v>
      </c>
      <c r="H51" s="10">
        <f>COUNTIFS(MatchTeamStats!$F$2:$F$209,$A51,MatchTeamStats!$L$2:$L$209,"Loss")</f>
        <v>3</v>
      </c>
      <c r="I51" s="10">
        <f>SUMIFS(MatchTeamStats!$J$2:$J$209,MatchTeamStats!$F$2:$F$209,$A51)</f>
        <v>1</v>
      </c>
      <c r="J51" s="10">
        <f>SUMIFS(MatchTeamStats!$K$2:$K$209,MatchTeamStats!$F$2:$F$209,$A51)</f>
        <v>12</v>
      </c>
      <c r="K51" s="10">
        <f t="shared" si="0"/>
        <v>-11</v>
      </c>
      <c r="L51" s="10">
        <f>SUMIFS(MatchTeamStats!$V$2:$V$209,MatchTeamStats!$F$2:$F$209,$A51)</f>
        <v>0</v>
      </c>
      <c r="M51" s="11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20" customWidth="1"/>
    <col min="3" max="3" width="12" customWidth="1"/>
    <col min="4" max="4" width="14" customWidth="1"/>
    <col min="5" max="5" width="11" customWidth="1"/>
    <col min="6" max="6" width="12" customWidth="1"/>
  </cols>
  <sheetData>
    <row r="1" spans="1:6" x14ac:dyDescent="0.3">
      <c r="A1" s="13" t="s">
        <v>14</v>
      </c>
      <c r="B1" s="13" t="s">
        <v>60</v>
      </c>
      <c r="C1" s="13" t="s">
        <v>61</v>
      </c>
      <c r="D1" s="13" t="s">
        <v>16</v>
      </c>
      <c r="E1" s="13" t="s">
        <v>62</v>
      </c>
      <c r="F1" s="13" t="s">
        <v>63</v>
      </c>
    </row>
    <row r="2" spans="1:6" x14ac:dyDescent="0.3">
      <c r="A2" s="14">
        <v>1</v>
      </c>
      <c r="B2" s="14" t="s">
        <v>64</v>
      </c>
      <c r="C2" s="14" t="s">
        <v>65</v>
      </c>
      <c r="D2" s="14" t="s">
        <v>57</v>
      </c>
      <c r="E2" s="14" t="s">
        <v>66</v>
      </c>
      <c r="F2" s="14"/>
    </row>
    <row r="3" spans="1:6" x14ac:dyDescent="0.3">
      <c r="A3" s="14">
        <v>2</v>
      </c>
      <c r="B3" s="14" t="s">
        <v>67</v>
      </c>
      <c r="C3" s="14" t="s">
        <v>68</v>
      </c>
      <c r="D3" s="14" t="s">
        <v>54</v>
      </c>
      <c r="E3" s="14" t="s">
        <v>69</v>
      </c>
      <c r="F3" s="14"/>
    </row>
    <row r="4" spans="1:6" x14ac:dyDescent="0.3">
      <c r="A4" s="14">
        <v>3</v>
      </c>
      <c r="B4" s="14" t="s">
        <v>70</v>
      </c>
      <c r="C4" s="14" t="s">
        <v>71</v>
      </c>
      <c r="D4" s="14" t="s">
        <v>57</v>
      </c>
      <c r="E4" s="14" t="s">
        <v>72</v>
      </c>
      <c r="F4" s="14"/>
    </row>
    <row r="5" spans="1:6" x14ac:dyDescent="0.3">
      <c r="A5" s="14">
        <v>4</v>
      </c>
      <c r="B5" s="14" t="s">
        <v>73</v>
      </c>
      <c r="C5" s="14" t="s">
        <v>74</v>
      </c>
      <c r="D5" s="14" t="s">
        <v>57</v>
      </c>
      <c r="E5" s="14" t="s">
        <v>75</v>
      </c>
      <c r="F5" s="14"/>
    </row>
    <row r="6" spans="1:6" x14ac:dyDescent="0.3">
      <c r="A6" s="14">
        <v>5</v>
      </c>
      <c r="B6" s="14" t="s">
        <v>76</v>
      </c>
      <c r="C6" s="14" t="s">
        <v>77</v>
      </c>
      <c r="D6" s="14" t="s">
        <v>54</v>
      </c>
      <c r="E6" s="14" t="s">
        <v>78</v>
      </c>
      <c r="F6" s="14"/>
    </row>
    <row r="7" spans="1:6" x14ac:dyDescent="0.3">
      <c r="A7" s="14">
        <v>6</v>
      </c>
      <c r="B7" s="14" t="s">
        <v>79</v>
      </c>
      <c r="C7" s="14" t="s">
        <v>80</v>
      </c>
      <c r="D7" s="14" t="s">
        <v>54</v>
      </c>
      <c r="E7" s="14" t="s">
        <v>81</v>
      </c>
      <c r="F7" s="14"/>
    </row>
    <row r="8" spans="1:6" x14ac:dyDescent="0.3">
      <c r="A8" s="14">
        <v>7</v>
      </c>
      <c r="B8" s="14" t="s">
        <v>82</v>
      </c>
      <c r="C8" s="14" t="s">
        <v>83</v>
      </c>
      <c r="D8" s="14" t="s">
        <v>54</v>
      </c>
      <c r="E8" s="14" t="s">
        <v>84</v>
      </c>
      <c r="F8" s="14"/>
    </row>
    <row r="9" spans="1:6" x14ac:dyDescent="0.3">
      <c r="A9" s="14">
        <v>8</v>
      </c>
      <c r="B9" s="14" t="s">
        <v>85</v>
      </c>
      <c r="C9" s="14" t="s">
        <v>86</v>
      </c>
      <c r="D9" s="14" t="s">
        <v>58</v>
      </c>
      <c r="E9" s="14" t="s">
        <v>87</v>
      </c>
      <c r="F9" s="14" t="s">
        <v>85</v>
      </c>
    </row>
    <row r="10" spans="1:6" x14ac:dyDescent="0.3">
      <c r="A10" s="14">
        <v>9</v>
      </c>
      <c r="B10" s="14" t="s">
        <v>88</v>
      </c>
      <c r="C10" s="14" t="s">
        <v>89</v>
      </c>
      <c r="D10" s="14" t="s">
        <v>54</v>
      </c>
      <c r="E10" s="14" t="s">
        <v>90</v>
      </c>
      <c r="F10" s="14"/>
    </row>
    <row r="11" spans="1:6" x14ac:dyDescent="0.3">
      <c r="A11" s="14">
        <v>10</v>
      </c>
      <c r="B11" s="14" t="s">
        <v>91</v>
      </c>
      <c r="C11" s="14" t="s">
        <v>92</v>
      </c>
      <c r="D11" s="14" t="s">
        <v>54</v>
      </c>
      <c r="E11" s="14" t="s">
        <v>93</v>
      </c>
      <c r="F11" s="14"/>
    </row>
    <row r="12" spans="1:6" x14ac:dyDescent="0.3">
      <c r="A12" s="14">
        <v>11</v>
      </c>
      <c r="B12" s="14" t="s">
        <v>94</v>
      </c>
      <c r="C12" s="14" t="s">
        <v>95</v>
      </c>
      <c r="D12" s="14" t="s">
        <v>54</v>
      </c>
      <c r="E12" s="14" t="s">
        <v>96</v>
      </c>
      <c r="F12" s="14"/>
    </row>
    <row r="13" spans="1:6" x14ac:dyDescent="0.3">
      <c r="A13" s="14">
        <v>12</v>
      </c>
      <c r="B13" s="14" t="s">
        <v>97</v>
      </c>
      <c r="C13" s="14" t="s">
        <v>97</v>
      </c>
      <c r="D13" s="14" t="s">
        <v>58</v>
      </c>
      <c r="E13" s="14" t="s">
        <v>98</v>
      </c>
      <c r="F13" s="14" t="s">
        <v>99</v>
      </c>
    </row>
    <row r="14" spans="1:6" x14ac:dyDescent="0.3">
      <c r="A14" s="14">
        <v>13</v>
      </c>
      <c r="B14" s="14" t="s">
        <v>100</v>
      </c>
      <c r="C14" s="14" t="s">
        <v>101</v>
      </c>
      <c r="D14" s="14" t="s">
        <v>56</v>
      </c>
      <c r="E14" s="14" t="s">
        <v>98</v>
      </c>
      <c r="F14" s="14"/>
    </row>
    <row r="15" spans="1:6" x14ac:dyDescent="0.3">
      <c r="A15" s="14">
        <v>14</v>
      </c>
      <c r="B15" s="14" t="s">
        <v>102</v>
      </c>
      <c r="C15" s="14" t="s">
        <v>103</v>
      </c>
      <c r="D15" s="14" t="s">
        <v>54</v>
      </c>
      <c r="E15" s="14" t="s">
        <v>66</v>
      </c>
      <c r="F15" s="14"/>
    </row>
    <row r="16" spans="1:6" x14ac:dyDescent="0.3">
      <c r="A16" s="14">
        <v>15</v>
      </c>
      <c r="B16" s="14" t="s">
        <v>104</v>
      </c>
      <c r="C16" s="14" t="s">
        <v>105</v>
      </c>
      <c r="D16" s="14" t="s">
        <v>55</v>
      </c>
      <c r="E16" s="14" t="s">
        <v>93</v>
      </c>
      <c r="F16" s="14"/>
    </row>
    <row r="17" spans="1:6" x14ac:dyDescent="0.3">
      <c r="A17" s="14">
        <v>16</v>
      </c>
      <c r="B17" s="14" t="s">
        <v>106</v>
      </c>
      <c r="C17" s="14" t="s">
        <v>107</v>
      </c>
      <c r="D17" s="14" t="s">
        <v>58</v>
      </c>
      <c r="E17" s="14" t="s">
        <v>96</v>
      </c>
      <c r="F17" s="14" t="s">
        <v>106</v>
      </c>
    </row>
    <row r="18" spans="1:6" x14ac:dyDescent="0.3">
      <c r="A18" s="14">
        <v>17</v>
      </c>
      <c r="B18" s="14" t="s">
        <v>108</v>
      </c>
      <c r="C18" s="14" t="s">
        <v>109</v>
      </c>
      <c r="D18" s="14" t="s">
        <v>55</v>
      </c>
      <c r="E18" s="14" t="s">
        <v>84</v>
      </c>
      <c r="F18" s="14"/>
    </row>
    <row r="19" spans="1:6" x14ac:dyDescent="0.3">
      <c r="A19" s="14">
        <v>18</v>
      </c>
      <c r="B19" s="14" t="s">
        <v>110</v>
      </c>
      <c r="C19" s="14" t="s">
        <v>111</v>
      </c>
      <c r="D19" s="14" t="s">
        <v>54</v>
      </c>
      <c r="E19" s="14" t="s">
        <v>78</v>
      </c>
      <c r="F19" s="14"/>
    </row>
    <row r="20" spans="1:6" x14ac:dyDescent="0.3">
      <c r="A20" s="14">
        <v>19</v>
      </c>
      <c r="B20" s="14" t="s">
        <v>112</v>
      </c>
      <c r="C20" s="14" t="s">
        <v>113</v>
      </c>
      <c r="D20" s="14" t="s">
        <v>55</v>
      </c>
      <c r="E20" s="14" t="s">
        <v>69</v>
      </c>
      <c r="F20" s="14"/>
    </row>
    <row r="21" spans="1:6" x14ac:dyDescent="0.3">
      <c r="A21" s="14">
        <v>20</v>
      </c>
      <c r="B21" s="14" t="s">
        <v>114</v>
      </c>
      <c r="C21" s="14" t="s">
        <v>115</v>
      </c>
      <c r="D21" s="14" t="s">
        <v>56</v>
      </c>
      <c r="E21" s="14" t="s">
        <v>90</v>
      </c>
      <c r="F21" s="14"/>
    </row>
    <row r="22" spans="1:6" x14ac:dyDescent="0.3">
      <c r="A22" s="14">
        <v>21</v>
      </c>
      <c r="B22" s="14" t="s">
        <v>116</v>
      </c>
      <c r="C22" s="14" t="s">
        <v>117</v>
      </c>
      <c r="D22" s="14" t="s">
        <v>55</v>
      </c>
      <c r="E22" s="14" t="s">
        <v>72</v>
      </c>
      <c r="F22" s="14"/>
    </row>
    <row r="23" spans="1:6" x14ac:dyDescent="0.3">
      <c r="A23" s="14">
        <v>22</v>
      </c>
      <c r="B23" s="14" t="s">
        <v>118</v>
      </c>
      <c r="C23" s="14" t="s">
        <v>119</v>
      </c>
      <c r="D23" s="14" t="s">
        <v>54</v>
      </c>
      <c r="E23" s="14" t="s">
        <v>81</v>
      </c>
      <c r="F23" s="14"/>
    </row>
    <row r="24" spans="1:6" x14ac:dyDescent="0.3">
      <c r="A24" s="14">
        <v>23</v>
      </c>
      <c r="B24" s="14" t="s">
        <v>120</v>
      </c>
      <c r="C24" s="14" t="s">
        <v>121</v>
      </c>
      <c r="D24" s="14" t="s">
        <v>54</v>
      </c>
      <c r="E24" s="14" t="s">
        <v>75</v>
      </c>
      <c r="F24" s="14"/>
    </row>
    <row r="25" spans="1:6" x14ac:dyDescent="0.3">
      <c r="A25" s="14">
        <v>24</v>
      </c>
      <c r="B25" s="14" t="s">
        <v>122</v>
      </c>
      <c r="C25" s="14" t="s">
        <v>123</v>
      </c>
      <c r="D25" s="14" t="s">
        <v>55</v>
      </c>
      <c r="E25" s="14" t="s">
        <v>87</v>
      </c>
      <c r="F25" s="14"/>
    </row>
    <row r="26" spans="1:6" x14ac:dyDescent="0.3">
      <c r="A26" s="14">
        <v>25</v>
      </c>
      <c r="B26" s="14" t="s">
        <v>124</v>
      </c>
      <c r="C26" s="14" t="s">
        <v>125</v>
      </c>
      <c r="D26" s="14" t="s">
        <v>55</v>
      </c>
      <c r="E26" s="14" t="s">
        <v>66</v>
      </c>
      <c r="F26" s="14"/>
    </row>
    <row r="27" spans="1:6" x14ac:dyDescent="0.3">
      <c r="A27" s="14">
        <v>26</v>
      </c>
      <c r="B27" s="14" t="s">
        <v>126</v>
      </c>
      <c r="C27" s="14" t="s">
        <v>127</v>
      </c>
      <c r="D27" s="14" t="s">
        <v>54</v>
      </c>
      <c r="E27" s="14" t="s">
        <v>96</v>
      </c>
      <c r="F27" s="14"/>
    </row>
    <row r="28" spans="1:6" x14ac:dyDescent="0.3">
      <c r="A28" s="14">
        <v>27</v>
      </c>
      <c r="B28" s="14" t="s">
        <v>128</v>
      </c>
      <c r="C28" s="14" t="s">
        <v>129</v>
      </c>
      <c r="D28" s="14" t="s">
        <v>55</v>
      </c>
      <c r="E28" s="14" t="s">
        <v>75</v>
      </c>
      <c r="F28" s="14"/>
    </row>
    <row r="29" spans="1:6" x14ac:dyDescent="0.3">
      <c r="A29" s="14">
        <v>28</v>
      </c>
      <c r="B29" s="14" t="s">
        <v>130</v>
      </c>
      <c r="C29" s="14" t="s">
        <v>131</v>
      </c>
      <c r="D29" s="14" t="s">
        <v>57</v>
      </c>
      <c r="E29" s="14" t="s">
        <v>84</v>
      </c>
      <c r="F29" s="14"/>
    </row>
    <row r="30" spans="1:6" x14ac:dyDescent="0.3">
      <c r="A30" s="14">
        <v>29</v>
      </c>
      <c r="B30" s="14" t="s">
        <v>132</v>
      </c>
      <c r="C30" s="14" t="s">
        <v>133</v>
      </c>
      <c r="D30" s="14" t="s">
        <v>55</v>
      </c>
      <c r="E30" s="14" t="s">
        <v>78</v>
      </c>
      <c r="F30" s="14"/>
    </row>
    <row r="31" spans="1:6" x14ac:dyDescent="0.3">
      <c r="A31" s="14">
        <v>30</v>
      </c>
      <c r="B31" s="14" t="s">
        <v>134</v>
      </c>
      <c r="C31" s="14" t="s">
        <v>135</v>
      </c>
      <c r="D31" s="14" t="s">
        <v>56</v>
      </c>
      <c r="E31" s="14" t="s">
        <v>69</v>
      </c>
      <c r="F31" s="14"/>
    </row>
    <row r="32" spans="1:6" x14ac:dyDescent="0.3">
      <c r="A32" s="14">
        <v>31</v>
      </c>
      <c r="B32" s="14" t="s">
        <v>136</v>
      </c>
      <c r="C32" s="14" t="s">
        <v>137</v>
      </c>
      <c r="D32" s="14" t="s">
        <v>56</v>
      </c>
      <c r="E32" s="14" t="s">
        <v>87</v>
      </c>
      <c r="F32" s="14"/>
    </row>
    <row r="33" spans="1:6" x14ac:dyDescent="0.3">
      <c r="A33" s="14">
        <v>32</v>
      </c>
      <c r="B33" s="14" t="s">
        <v>138</v>
      </c>
      <c r="C33" s="14" t="s">
        <v>139</v>
      </c>
      <c r="D33" s="14" t="s">
        <v>57</v>
      </c>
      <c r="E33" s="14" t="s">
        <v>98</v>
      </c>
      <c r="F33" s="14"/>
    </row>
    <row r="34" spans="1:6" x14ac:dyDescent="0.3">
      <c r="A34" s="14">
        <v>33</v>
      </c>
      <c r="B34" s="14" t="s">
        <v>140</v>
      </c>
      <c r="C34" s="14" t="s">
        <v>141</v>
      </c>
      <c r="D34" s="14" t="s">
        <v>54</v>
      </c>
      <c r="E34" s="14" t="s">
        <v>72</v>
      </c>
      <c r="F34" s="14"/>
    </row>
    <row r="35" spans="1:6" x14ac:dyDescent="0.3">
      <c r="A35" s="14">
        <v>34</v>
      </c>
      <c r="B35" s="14" t="s">
        <v>142</v>
      </c>
      <c r="C35" s="14" t="s">
        <v>143</v>
      </c>
      <c r="D35" s="14" t="s">
        <v>55</v>
      </c>
      <c r="E35" s="14" t="s">
        <v>81</v>
      </c>
      <c r="F35" s="14"/>
    </row>
    <row r="36" spans="1:6" x14ac:dyDescent="0.3">
      <c r="A36" s="14">
        <v>35</v>
      </c>
      <c r="B36" s="14" t="s">
        <v>144</v>
      </c>
      <c r="C36" s="14" t="s">
        <v>145</v>
      </c>
      <c r="D36" s="14" t="s">
        <v>54</v>
      </c>
      <c r="E36" s="14" t="s">
        <v>90</v>
      </c>
      <c r="F36" s="14"/>
    </row>
    <row r="37" spans="1:6" x14ac:dyDescent="0.3">
      <c r="A37" s="14">
        <v>36</v>
      </c>
      <c r="B37" s="14" t="s">
        <v>146</v>
      </c>
      <c r="C37" s="14" t="s">
        <v>147</v>
      </c>
      <c r="D37" s="14" t="s">
        <v>57</v>
      </c>
      <c r="E37" s="14" t="s">
        <v>93</v>
      </c>
      <c r="F37" s="14"/>
    </row>
    <row r="38" spans="1:6" x14ac:dyDescent="0.3">
      <c r="A38" s="14">
        <v>37</v>
      </c>
      <c r="B38" s="14" t="s">
        <v>148</v>
      </c>
      <c r="C38" s="14" t="s">
        <v>149</v>
      </c>
      <c r="D38" s="14" t="s">
        <v>58</v>
      </c>
      <c r="E38" s="14" t="s">
        <v>84</v>
      </c>
      <c r="F38" s="14"/>
    </row>
    <row r="39" spans="1:6" x14ac:dyDescent="0.3">
      <c r="A39" s="14">
        <v>38</v>
      </c>
      <c r="B39" s="14" t="s">
        <v>150</v>
      </c>
      <c r="C39" s="14" t="s">
        <v>151</v>
      </c>
      <c r="D39" s="14" t="s">
        <v>54</v>
      </c>
      <c r="E39" s="14" t="s">
        <v>87</v>
      </c>
      <c r="F39" s="14"/>
    </row>
    <row r="40" spans="1:6" x14ac:dyDescent="0.3">
      <c r="A40" s="14">
        <v>39</v>
      </c>
      <c r="B40" s="14" t="s">
        <v>152</v>
      </c>
      <c r="C40" s="14" t="s">
        <v>153</v>
      </c>
      <c r="D40" s="14" t="s">
        <v>58</v>
      </c>
      <c r="E40" s="14" t="s">
        <v>72</v>
      </c>
      <c r="F40" s="14"/>
    </row>
    <row r="41" spans="1:6" x14ac:dyDescent="0.3">
      <c r="A41" s="14">
        <v>40</v>
      </c>
      <c r="B41" s="14" t="s">
        <v>154</v>
      </c>
      <c r="C41" s="14" t="s">
        <v>155</v>
      </c>
      <c r="D41" s="14" t="s">
        <v>56</v>
      </c>
      <c r="E41" s="14" t="s">
        <v>81</v>
      </c>
      <c r="F41" s="14"/>
    </row>
    <row r="42" spans="1:6" x14ac:dyDescent="0.3">
      <c r="A42" s="14">
        <v>41</v>
      </c>
      <c r="B42" s="14" t="s">
        <v>156</v>
      </c>
      <c r="C42" s="14" t="s">
        <v>157</v>
      </c>
      <c r="D42" s="14" t="s">
        <v>56</v>
      </c>
      <c r="E42" s="14" t="s">
        <v>66</v>
      </c>
      <c r="F42" s="14"/>
    </row>
    <row r="43" spans="1:6" x14ac:dyDescent="0.3">
      <c r="A43" s="14">
        <v>42</v>
      </c>
      <c r="B43" s="14" t="s">
        <v>158</v>
      </c>
      <c r="C43" s="14" t="s">
        <v>159</v>
      </c>
      <c r="D43" s="14" t="s">
        <v>59</v>
      </c>
      <c r="E43" s="14" t="s">
        <v>69</v>
      </c>
      <c r="F43" s="14"/>
    </row>
    <row r="44" spans="1:6" x14ac:dyDescent="0.3">
      <c r="A44" s="14">
        <v>43</v>
      </c>
      <c r="B44" s="14" t="s">
        <v>160</v>
      </c>
      <c r="C44" s="14" t="s">
        <v>161</v>
      </c>
      <c r="D44" s="14" t="s">
        <v>58</v>
      </c>
      <c r="E44" s="14" t="s">
        <v>78</v>
      </c>
      <c r="F44" s="14"/>
    </row>
    <row r="45" spans="1:6" x14ac:dyDescent="0.3">
      <c r="A45" s="14">
        <v>44</v>
      </c>
      <c r="B45" s="14" t="s">
        <v>162</v>
      </c>
      <c r="C45" s="14" t="s">
        <v>163</v>
      </c>
      <c r="D45" s="14" t="s">
        <v>56</v>
      </c>
      <c r="E45" s="14" t="s">
        <v>96</v>
      </c>
      <c r="F45" s="14"/>
    </row>
    <row r="46" spans="1:6" x14ac:dyDescent="0.3">
      <c r="A46" s="14">
        <v>45</v>
      </c>
      <c r="B46" s="14" t="s">
        <v>164</v>
      </c>
      <c r="C46" s="14" t="s">
        <v>165</v>
      </c>
      <c r="D46" s="14" t="s">
        <v>56</v>
      </c>
      <c r="E46" s="14" t="s">
        <v>93</v>
      </c>
      <c r="F46" s="14"/>
    </row>
    <row r="47" spans="1:6" x14ac:dyDescent="0.3">
      <c r="A47" s="14">
        <v>46</v>
      </c>
      <c r="B47" s="14" t="s">
        <v>166</v>
      </c>
      <c r="C47" s="14" t="s">
        <v>167</v>
      </c>
      <c r="D47" s="14" t="s">
        <v>55</v>
      </c>
      <c r="E47" s="14" t="s">
        <v>90</v>
      </c>
      <c r="F47" s="14"/>
    </row>
    <row r="48" spans="1:6" x14ac:dyDescent="0.3">
      <c r="A48" s="14">
        <v>47</v>
      </c>
      <c r="B48" s="14" t="s">
        <v>168</v>
      </c>
      <c r="C48" s="14" t="s">
        <v>169</v>
      </c>
      <c r="D48" s="14" t="s">
        <v>54</v>
      </c>
      <c r="E48" s="14" t="s">
        <v>98</v>
      </c>
      <c r="F48" s="14"/>
    </row>
    <row r="49" spans="1:6" x14ac:dyDescent="0.3">
      <c r="A49" s="14">
        <v>48</v>
      </c>
      <c r="B49" s="14" t="s">
        <v>170</v>
      </c>
      <c r="C49" s="14" t="s">
        <v>171</v>
      </c>
      <c r="D49" s="14" t="s">
        <v>56</v>
      </c>
      <c r="E49" s="14" t="s">
        <v>75</v>
      </c>
      <c r="F49" s="14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12" customWidth="1"/>
    <col min="3" max="3" width="13" customWidth="1"/>
    <col min="4" max="4" width="11" customWidth="1"/>
    <col min="5" max="5" width="10" customWidth="1"/>
    <col min="6" max="6" width="20" customWidth="1"/>
    <col min="7" max="7" width="9" customWidth="1"/>
    <col min="8" max="8" width="16" customWidth="1"/>
    <col min="9" max="9" width="9" customWidth="1"/>
    <col min="10" max="10" width="16" customWidth="1"/>
    <col min="11" max="12" width="11" customWidth="1"/>
    <col min="13" max="13" width="12" customWidth="1"/>
    <col min="14" max="14" width="16" customWidth="1"/>
    <col min="15" max="15" width="8" customWidth="1"/>
    <col min="16" max="16" width="10" customWidth="1"/>
    <col min="17" max="17" width="14" customWidth="1"/>
  </cols>
  <sheetData>
    <row r="1" spans="1:17" x14ac:dyDescent="0.3">
      <c r="A1" s="13" t="s">
        <v>172</v>
      </c>
      <c r="B1" s="13" t="s">
        <v>173</v>
      </c>
      <c r="C1" s="13" t="s">
        <v>27</v>
      </c>
      <c r="D1" s="13" t="s">
        <v>62</v>
      </c>
      <c r="E1" s="13" t="s">
        <v>30</v>
      </c>
      <c r="F1" s="13" t="s">
        <v>174</v>
      </c>
      <c r="G1" s="13" t="s">
        <v>175</v>
      </c>
      <c r="H1" s="13" t="s">
        <v>176</v>
      </c>
      <c r="I1" s="13" t="s">
        <v>177</v>
      </c>
      <c r="J1" s="13" t="s">
        <v>178</v>
      </c>
      <c r="K1" s="13" t="s">
        <v>179</v>
      </c>
      <c r="L1" s="13" t="s">
        <v>180</v>
      </c>
      <c r="M1" s="13" t="s">
        <v>181</v>
      </c>
      <c r="N1" s="13" t="s">
        <v>182</v>
      </c>
      <c r="O1" s="13" t="s">
        <v>183</v>
      </c>
      <c r="P1" s="13" t="s">
        <v>184</v>
      </c>
      <c r="Q1" s="13" t="s">
        <v>185</v>
      </c>
    </row>
    <row r="2" spans="1:17" x14ac:dyDescent="0.3">
      <c r="A2" s="14">
        <v>1</v>
      </c>
      <c r="B2" s="14" t="s">
        <v>186</v>
      </c>
      <c r="C2" s="14" t="s">
        <v>34</v>
      </c>
      <c r="D2" s="14" t="s">
        <v>87</v>
      </c>
      <c r="E2" s="14">
        <v>3</v>
      </c>
      <c r="F2" s="14" t="str">
        <f>IFERROR(INDEX(Stadiums!$B$2:$B$17,MATCH($E2,Stadiums!$A$2:$A$17,0)),"")</f>
        <v>Mexico City Stadium</v>
      </c>
      <c r="G2" s="14">
        <v>8</v>
      </c>
      <c r="H2" s="14" t="str">
        <f>IFERROR(INDEX(Teams!$B$2:$B$49,MATCH($G2,Teams!$A$2:$A$49,0)),"")</f>
        <v>Mexico</v>
      </c>
      <c r="I2" s="14">
        <v>24</v>
      </c>
      <c r="J2" s="14" t="str">
        <f>IFERROR(INDEX(Teams!$B$2:$B$49,MATCH($I2,Teams!$A$2:$A$49,0)),"")</f>
        <v>South Africa</v>
      </c>
      <c r="K2" s="14">
        <v>2</v>
      </c>
      <c r="L2" s="14">
        <v>0</v>
      </c>
      <c r="M2" s="14">
        <v>8</v>
      </c>
      <c r="N2" s="14" t="str">
        <f>IFERROR(INDEX(Teams!$B$2:$B$49,MATCH($M2,Teams!$A$2:$A$49,0)),"Draw")</f>
        <v>Mexico</v>
      </c>
      <c r="O2" s="14" t="s">
        <v>19</v>
      </c>
      <c r="P2" s="14">
        <v>2</v>
      </c>
      <c r="Q2" s="14">
        <v>2</v>
      </c>
    </row>
    <row r="3" spans="1:17" x14ac:dyDescent="0.3">
      <c r="A3" s="14">
        <v>2</v>
      </c>
      <c r="B3" s="14" t="s">
        <v>186</v>
      </c>
      <c r="C3" s="14" t="s">
        <v>34</v>
      </c>
      <c r="D3" s="14" t="s">
        <v>87</v>
      </c>
      <c r="E3" s="14">
        <v>4</v>
      </c>
      <c r="F3" s="14" t="str">
        <f>IFERROR(INDEX(Stadiums!$B$2:$B$17,MATCH($E3,Stadiums!$A$2:$A$17,0)),"")</f>
        <v>Guadalajara Stadium</v>
      </c>
      <c r="G3" s="14">
        <v>31</v>
      </c>
      <c r="H3" s="14" t="str">
        <f>IFERROR(INDEX(Teams!$B$2:$B$49,MATCH($G3,Teams!$A$2:$A$49,0)),"")</f>
        <v>Korea Republic</v>
      </c>
      <c r="I3" s="14">
        <v>38</v>
      </c>
      <c r="J3" s="14" t="str">
        <f>IFERROR(INDEX(Teams!$B$2:$B$49,MATCH($I3,Teams!$A$2:$A$49,0)),"")</f>
        <v>Czechia</v>
      </c>
      <c r="K3" s="14">
        <v>2</v>
      </c>
      <c r="L3" s="14">
        <v>1</v>
      </c>
      <c r="M3" s="14">
        <v>31</v>
      </c>
      <c r="N3" s="14" t="str">
        <f>IFERROR(INDEX(Teams!$B$2:$B$49,MATCH($M3,Teams!$A$2:$A$49,0)),"Draw")</f>
        <v>Korea Republic</v>
      </c>
      <c r="O3" s="14" t="s">
        <v>19</v>
      </c>
      <c r="P3" s="14">
        <v>3</v>
      </c>
      <c r="Q3" s="14">
        <v>1</v>
      </c>
    </row>
    <row r="4" spans="1:17" x14ac:dyDescent="0.3">
      <c r="A4" s="14">
        <v>3</v>
      </c>
      <c r="B4" s="14" t="s">
        <v>187</v>
      </c>
      <c r="C4" s="14" t="s">
        <v>34</v>
      </c>
      <c r="D4" s="14" t="s">
        <v>96</v>
      </c>
      <c r="E4" s="14">
        <v>1</v>
      </c>
      <c r="F4" s="14" t="str">
        <f>IFERROR(INDEX(Stadiums!$B$2:$B$17,MATCH($E4,Stadiums!$A$2:$A$17,0)),"")</f>
        <v>Toronto Stadium</v>
      </c>
      <c r="G4" s="14">
        <v>16</v>
      </c>
      <c r="H4" s="14" t="str">
        <f>IFERROR(INDEX(Teams!$B$2:$B$49,MATCH($G4,Teams!$A$2:$A$49,0)),"")</f>
        <v>Canada</v>
      </c>
      <c r="I4" s="14">
        <v>26</v>
      </c>
      <c r="J4" s="14" t="str">
        <f>IFERROR(INDEX(Teams!$B$2:$B$49,MATCH($I4,Teams!$A$2:$A$49,0)),"")</f>
        <v>Bosnia and Herzegovina</v>
      </c>
      <c r="K4" s="14">
        <v>1</v>
      </c>
      <c r="L4" s="14">
        <v>1</v>
      </c>
      <c r="M4" s="14"/>
      <c r="N4" s="14" t="str">
        <f>IFERROR(INDEX(Teams!$B$2:$B$49,MATCH($M4,Teams!$A$2:$A$49,0)),"Draw")</f>
        <v>Draw</v>
      </c>
      <c r="O4" s="14" t="s">
        <v>20</v>
      </c>
      <c r="P4" s="14">
        <v>2</v>
      </c>
      <c r="Q4" s="14">
        <v>0</v>
      </c>
    </row>
    <row r="5" spans="1:17" x14ac:dyDescent="0.3">
      <c r="A5" s="14">
        <v>4</v>
      </c>
      <c r="B5" s="14" t="s">
        <v>187</v>
      </c>
      <c r="C5" s="14" t="s">
        <v>34</v>
      </c>
      <c r="D5" s="14" t="s">
        <v>98</v>
      </c>
      <c r="E5" s="14">
        <v>11</v>
      </c>
      <c r="F5" s="14" t="str">
        <f>IFERROR(INDEX(Stadiums!$B$2:$B$17,MATCH($E5,Stadiums!$A$2:$A$17,0)),"")</f>
        <v>Los Angeles Stadium</v>
      </c>
      <c r="G5" s="14">
        <v>12</v>
      </c>
      <c r="H5" s="14" t="str">
        <f>IFERROR(INDEX(Teams!$B$2:$B$49,MATCH($G5,Teams!$A$2:$A$49,0)),"")</f>
        <v>USA</v>
      </c>
      <c r="I5" s="14">
        <v>32</v>
      </c>
      <c r="J5" s="14" t="str">
        <f>IFERROR(INDEX(Teams!$B$2:$B$49,MATCH($I5,Teams!$A$2:$A$49,0)),"")</f>
        <v>Paraguay</v>
      </c>
      <c r="K5" s="14">
        <v>4</v>
      </c>
      <c r="L5" s="14">
        <v>1</v>
      </c>
      <c r="M5" s="14">
        <v>12</v>
      </c>
      <c r="N5" s="14" t="str">
        <f>IFERROR(INDEX(Teams!$B$2:$B$49,MATCH($M5,Teams!$A$2:$A$49,0)),"Draw")</f>
        <v>USA</v>
      </c>
      <c r="O5" s="14" t="s">
        <v>19</v>
      </c>
      <c r="P5" s="14">
        <v>5</v>
      </c>
      <c r="Q5" s="14">
        <v>3</v>
      </c>
    </row>
    <row r="6" spans="1:17" x14ac:dyDescent="0.3">
      <c r="A6" s="14">
        <v>5</v>
      </c>
      <c r="B6" s="14" t="s">
        <v>188</v>
      </c>
      <c r="C6" s="14" t="s">
        <v>34</v>
      </c>
      <c r="D6" s="14" t="s">
        <v>72</v>
      </c>
      <c r="E6" s="14">
        <v>7</v>
      </c>
      <c r="F6" s="14" t="str">
        <f>IFERROR(INDEX(Stadiums!$B$2:$B$17,MATCH($E6,Stadiums!$A$2:$A$17,0)),"")</f>
        <v>Boston Stadium</v>
      </c>
      <c r="G6" s="14">
        <v>39</v>
      </c>
      <c r="H6" s="14" t="str">
        <f>IFERROR(INDEX(Teams!$B$2:$B$49,MATCH($G6,Teams!$A$2:$A$49,0)),"")</f>
        <v>Haiti</v>
      </c>
      <c r="I6" s="14">
        <v>33</v>
      </c>
      <c r="J6" s="14" t="str">
        <f>IFERROR(INDEX(Teams!$B$2:$B$49,MATCH($I6,Teams!$A$2:$A$49,0)),"")</f>
        <v>Scotland</v>
      </c>
      <c r="K6" s="14">
        <v>0</v>
      </c>
      <c r="L6" s="14">
        <v>1</v>
      </c>
      <c r="M6" s="14">
        <v>33</v>
      </c>
      <c r="N6" s="14" t="str">
        <f>IFERROR(INDEX(Teams!$B$2:$B$49,MATCH($M6,Teams!$A$2:$A$49,0)),"Draw")</f>
        <v>Scotland</v>
      </c>
      <c r="O6" s="14" t="s">
        <v>21</v>
      </c>
      <c r="P6" s="14">
        <v>1</v>
      </c>
      <c r="Q6" s="14">
        <v>1</v>
      </c>
    </row>
    <row r="7" spans="1:17" x14ac:dyDescent="0.3">
      <c r="A7" s="14">
        <v>6</v>
      </c>
      <c r="B7" s="14" t="s">
        <v>188</v>
      </c>
      <c r="C7" s="14" t="s">
        <v>34</v>
      </c>
      <c r="D7" s="14" t="s">
        <v>98</v>
      </c>
      <c r="E7" s="14">
        <v>2</v>
      </c>
      <c r="F7" s="14" t="str">
        <f>IFERROR(INDEX(Stadiums!$B$2:$B$17,MATCH($E7,Stadiums!$A$2:$A$17,0)),"")</f>
        <v>BC Place Vancouver</v>
      </c>
      <c r="G7" s="14">
        <v>13</v>
      </c>
      <c r="H7" s="14" t="str">
        <f>IFERROR(INDEX(Teams!$B$2:$B$49,MATCH($G7,Teams!$A$2:$A$49,0)),"")</f>
        <v>Australia</v>
      </c>
      <c r="I7" s="14">
        <v>47</v>
      </c>
      <c r="J7" s="14" t="str">
        <f>IFERROR(INDEX(Teams!$B$2:$B$49,MATCH($I7,Teams!$A$2:$A$49,0)),"")</f>
        <v>Türkiye</v>
      </c>
      <c r="K7" s="14">
        <v>2</v>
      </c>
      <c r="L7" s="14">
        <v>0</v>
      </c>
      <c r="M7" s="14">
        <v>13</v>
      </c>
      <c r="N7" s="14" t="str">
        <f>IFERROR(INDEX(Teams!$B$2:$B$49,MATCH($M7,Teams!$A$2:$A$49,0)),"Draw")</f>
        <v>Australia</v>
      </c>
      <c r="O7" s="14" t="s">
        <v>19</v>
      </c>
      <c r="P7" s="14">
        <v>2</v>
      </c>
      <c r="Q7" s="14">
        <v>2</v>
      </c>
    </row>
    <row r="8" spans="1:17" x14ac:dyDescent="0.3">
      <c r="A8" s="14">
        <v>7</v>
      </c>
      <c r="B8" s="14" t="s">
        <v>188</v>
      </c>
      <c r="C8" s="14" t="s">
        <v>34</v>
      </c>
      <c r="D8" s="14" t="s">
        <v>72</v>
      </c>
      <c r="E8" s="14">
        <v>13</v>
      </c>
      <c r="F8" s="14" t="str">
        <f>IFERROR(INDEX(Stadiums!$B$2:$B$17,MATCH($E8,Stadiums!$A$2:$A$17,0)),"")</f>
        <v>New York New Jersey Stadium</v>
      </c>
      <c r="G8" s="14">
        <v>3</v>
      </c>
      <c r="H8" s="14" t="str">
        <f>IFERROR(INDEX(Teams!$B$2:$B$49,MATCH($G8,Teams!$A$2:$A$49,0)),"")</f>
        <v>Brazil</v>
      </c>
      <c r="I8" s="14">
        <v>21</v>
      </c>
      <c r="J8" s="14" t="str">
        <f>IFERROR(INDEX(Teams!$B$2:$B$49,MATCH($I8,Teams!$A$2:$A$49,0)),"")</f>
        <v>Morocco</v>
      </c>
      <c r="K8" s="14">
        <v>1</v>
      </c>
      <c r="L8" s="14">
        <v>1</v>
      </c>
      <c r="M8" s="14"/>
      <c r="N8" s="14" t="str">
        <f>IFERROR(INDEX(Teams!$B$2:$B$49,MATCH($M8,Teams!$A$2:$A$49,0)),"Draw")</f>
        <v>Draw</v>
      </c>
      <c r="O8" s="14" t="s">
        <v>20</v>
      </c>
      <c r="P8" s="14">
        <v>2</v>
      </c>
      <c r="Q8" s="14">
        <v>0</v>
      </c>
    </row>
    <row r="9" spans="1:17" x14ac:dyDescent="0.3">
      <c r="A9" s="14">
        <v>8</v>
      </c>
      <c r="B9" s="14" t="s">
        <v>188</v>
      </c>
      <c r="C9" s="14" t="s">
        <v>34</v>
      </c>
      <c r="D9" s="14" t="s">
        <v>96</v>
      </c>
      <c r="E9" s="14">
        <v>15</v>
      </c>
      <c r="F9" s="14" t="str">
        <f>IFERROR(INDEX(Stadiums!$B$2:$B$17,MATCH($E9,Stadiums!$A$2:$A$17,0)),"")</f>
        <v>San Francisco Bay Area Stadium</v>
      </c>
      <c r="G9" s="14">
        <v>44</v>
      </c>
      <c r="H9" s="14" t="str">
        <f>IFERROR(INDEX(Teams!$B$2:$B$49,MATCH($G9,Teams!$A$2:$A$49,0)),"")</f>
        <v>Qatar</v>
      </c>
      <c r="I9" s="14">
        <v>11</v>
      </c>
      <c r="J9" s="14" t="str">
        <f>IFERROR(INDEX(Teams!$B$2:$B$49,MATCH($I9,Teams!$A$2:$A$49,0)),"")</f>
        <v>Switzerland</v>
      </c>
      <c r="K9" s="14">
        <v>1</v>
      </c>
      <c r="L9" s="14">
        <v>1</v>
      </c>
      <c r="M9" s="14"/>
      <c r="N9" s="14" t="str">
        <f>IFERROR(INDEX(Teams!$B$2:$B$49,MATCH($M9,Teams!$A$2:$A$49,0)),"Draw")</f>
        <v>Draw</v>
      </c>
      <c r="O9" s="14" t="s">
        <v>20</v>
      </c>
      <c r="P9" s="14">
        <v>2</v>
      </c>
      <c r="Q9" s="14">
        <v>0</v>
      </c>
    </row>
    <row r="10" spans="1:17" x14ac:dyDescent="0.3">
      <c r="A10" s="14">
        <v>9</v>
      </c>
      <c r="B10" s="14" t="s">
        <v>189</v>
      </c>
      <c r="C10" s="14" t="s">
        <v>34</v>
      </c>
      <c r="D10" s="14" t="s">
        <v>84</v>
      </c>
      <c r="E10" s="14">
        <v>14</v>
      </c>
      <c r="F10" s="14" t="str">
        <f>IFERROR(INDEX(Stadiums!$B$2:$B$17,MATCH($E10,Stadiums!$A$2:$A$17,0)),"")</f>
        <v>Philadelphia Stadium</v>
      </c>
      <c r="G10" s="14">
        <v>17</v>
      </c>
      <c r="H10" s="14" t="str">
        <f>IFERROR(INDEX(Teams!$B$2:$B$49,MATCH($G10,Teams!$A$2:$A$49,0)),"")</f>
        <v>Côte d'Ivoire</v>
      </c>
      <c r="I10" s="14">
        <v>28</v>
      </c>
      <c r="J10" s="14" t="str">
        <f>IFERROR(INDEX(Teams!$B$2:$B$49,MATCH($I10,Teams!$A$2:$A$49,0)),"")</f>
        <v>Ecuador</v>
      </c>
      <c r="K10" s="14">
        <v>1</v>
      </c>
      <c r="L10" s="14">
        <v>0</v>
      </c>
      <c r="M10" s="14">
        <v>17</v>
      </c>
      <c r="N10" s="14" t="str">
        <f>IFERROR(INDEX(Teams!$B$2:$B$49,MATCH($M10,Teams!$A$2:$A$49,0)),"Draw")</f>
        <v>Côte d'Ivoire</v>
      </c>
      <c r="O10" s="14" t="s">
        <v>19</v>
      </c>
      <c r="P10" s="14">
        <v>1</v>
      </c>
      <c r="Q10" s="14">
        <v>1</v>
      </c>
    </row>
    <row r="11" spans="1:17" x14ac:dyDescent="0.3">
      <c r="A11" s="14">
        <v>10</v>
      </c>
      <c r="B11" s="14" t="s">
        <v>189</v>
      </c>
      <c r="C11" s="14" t="s">
        <v>34</v>
      </c>
      <c r="D11" s="14" t="s">
        <v>84</v>
      </c>
      <c r="E11" s="14">
        <v>9</v>
      </c>
      <c r="F11" s="14" t="str">
        <f>IFERROR(INDEX(Stadiums!$B$2:$B$17,MATCH($E11,Stadiums!$A$2:$A$17,0)),"")</f>
        <v>Houston Stadium</v>
      </c>
      <c r="G11" s="14">
        <v>7</v>
      </c>
      <c r="H11" s="14" t="str">
        <f>IFERROR(INDEX(Teams!$B$2:$B$49,MATCH($G11,Teams!$A$2:$A$49,0)),"")</f>
        <v>Germany</v>
      </c>
      <c r="I11" s="14">
        <v>37</v>
      </c>
      <c r="J11" s="14" t="str">
        <f>IFERROR(INDEX(Teams!$B$2:$B$49,MATCH($I11,Teams!$A$2:$A$49,0)),"")</f>
        <v>Curaçao</v>
      </c>
      <c r="K11" s="14">
        <v>7</v>
      </c>
      <c r="L11" s="14">
        <v>1</v>
      </c>
      <c r="M11" s="14">
        <v>7</v>
      </c>
      <c r="N11" s="14" t="str">
        <f>IFERROR(INDEX(Teams!$B$2:$B$49,MATCH($M11,Teams!$A$2:$A$49,0)),"Draw")</f>
        <v>Germany</v>
      </c>
      <c r="O11" s="14" t="s">
        <v>19</v>
      </c>
      <c r="P11" s="14">
        <v>8</v>
      </c>
      <c r="Q11" s="14">
        <v>6</v>
      </c>
    </row>
    <row r="12" spans="1:17" x14ac:dyDescent="0.3">
      <c r="A12" s="14">
        <v>11</v>
      </c>
      <c r="B12" s="14" t="s">
        <v>189</v>
      </c>
      <c r="C12" s="14" t="s">
        <v>34</v>
      </c>
      <c r="D12" s="14" t="s">
        <v>90</v>
      </c>
      <c r="E12" s="14">
        <v>8</v>
      </c>
      <c r="F12" s="14" t="str">
        <f>IFERROR(INDEX(Stadiums!$B$2:$B$17,MATCH($E12,Stadiums!$A$2:$A$17,0)),"")</f>
        <v>Dallas Stadium</v>
      </c>
      <c r="G12" s="14">
        <v>9</v>
      </c>
      <c r="H12" s="14" t="str">
        <f>IFERROR(INDEX(Teams!$B$2:$B$49,MATCH($G12,Teams!$A$2:$A$49,0)),"")</f>
        <v>Netherlands</v>
      </c>
      <c r="I12" s="14">
        <v>20</v>
      </c>
      <c r="J12" s="14" t="str">
        <f>IFERROR(INDEX(Teams!$B$2:$B$49,MATCH($I12,Teams!$A$2:$A$49,0)),"")</f>
        <v>Japan</v>
      </c>
      <c r="K12" s="14">
        <v>2</v>
      </c>
      <c r="L12" s="14">
        <v>2</v>
      </c>
      <c r="M12" s="14"/>
      <c r="N12" s="14" t="str">
        <f>IFERROR(INDEX(Teams!$B$2:$B$49,MATCH($M12,Teams!$A$2:$A$49,0)),"Draw")</f>
        <v>Draw</v>
      </c>
      <c r="O12" s="14" t="s">
        <v>20</v>
      </c>
      <c r="P12" s="14">
        <v>4</v>
      </c>
      <c r="Q12" s="14">
        <v>0</v>
      </c>
    </row>
    <row r="13" spans="1:17" x14ac:dyDescent="0.3">
      <c r="A13" s="14">
        <v>12</v>
      </c>
      <c r="B13" s="14" t="s">
        <v>189</v>
      </c>
      <c r="C13" s="14" t="s">
        <v>34</v>
      </c>
      <c r="D13" s="14" t="s">
        <v>90</v>
      </c>
      <c r="E13" s="14">
        <v>5</v>
      </c>
      <c r="F13" s="14" t="str">
        <f>IFERROR(INDEX(Stadiums!$B$2:$B$17,MATCH($E13,Stadiums!$A$2:$A$17,0)),"")</f>
        <v>Estadio Monterrey</v>
      </c>
      <c r="G13" s="14">
        <v>35</v>
      </c>
      <c r="H13" s="14" t="str">
        <f>IFERROR(INDEX(Teams!$B$2:$B$49,MATCH($G13,Teams!$A$2:$A$49,0)),"")</f>
        <v>Sweden</v>
      </c>
      <c r="I13" s="14">
        <v>46</v>
      </c>
      <c r="J13" s="14" t="str">
        <f>IFERROR(INDEX(Teams!$B$2:$B$49,MATCH($I13,Teams!$A$2:$A$49,0)),"")</f>
        <v>Tunisia</v>
      </c>
      <c r="K13" s="14">
        <v>5</v>
      </c>
      <c r="L13" s="14">
        <v>1</v>
      </c>
      <c r="M13" s="14">
        <v>35</v>
      </c>
      <c r="N13" s="14" t="str">
        <f>IFERROR(INDEX(Teams!$B$2:$B$49,MATCH($M13,Teams!$A$2:$A$49,0)),"Draw")</f>
        <v>Sweden</v>
      </c>
      <c r="O13" s="14" t="s">
        <v>19</v>
      </c>
      <c r="P13" s="14">
        <v>6</v>
      </c>
      <c r="Q13" s="14">
        <v>4</v>
      </c>
    </row>
    <row r="14" spans="1:17" x14ac:dyDescent="0.3">
      <c r="A14" s="14">
        <v>13</v>
      </c>
      <c r="B14" s="14" t="s">
        <v>190</v>
      </c>
      <c r="C14" s="14" t="s">
        <v>34</v>
      </c>
      <c r="D14" s="14" t="s">
        <v>93</v>
      </c>
      <c r="E14" s="14">
        <v>12</v>
      </c>
      <c r="F14" s="14" t="str">
        <f>IFERROR(INDEX(Stadiums!$B$2:$B$17,MATCH($E14,Stadiums!$A$2:$A$17,0)),"")</f>
        <v>Miami Stadium</v>
      </c>
      <c r="G14" s="14">
        <v>45</v>
      </c>
      <c r="H14" s="14" t="str">
        <f>IFERROR(INDEX(Teams!$B$2:$B$49,MATCH($G14,Teams!$A$2:$A$49,0)),"")</f>
        <v>Saudi Arabia</v>
      </c>
      <c r="I14" s="14">
        <v>36</v>
      </c>
      <c r="J14" s="14" t="str">
        <f>IFERROR(INDEX(Teams!$B$2:$B$49,MATCH($I14,Teams!$A$2:$A$49,0)),"")</f>
        <v>Uruguay</v>
      </c>
      <c r="K14" s="14">
        <v>1</v>
      </c>
      <c r="L14" s="14">
        <v>1</v>
      </c>
      <c r="M14" s="14"/>
      <c r="N14" s="14" t="str">
        <f>IFERROR(INDEX(Teams!$B$2:$B$49,MATCH($M14,Teams!$A$2:$A$49,0)),"Draw")</f>
        <v>Draw</v>
      </c>
      <c r="O14" s="14" t="s">
        <v>20</v>
      </c>
      <c r="P14" s="14">
        <v>2</v>
      </c>
      <c r="Q14" s="14">
        <v>0</v>
      </c>
    </row>
    <row r="15" spans="1:17" x14ac:dyDescent="0.3">
      <c r="A15" s="14">
        <v>14</v>
      </c>
      <c r="B15" s="14" t="s">
        <v>190</v>
      </c>
      <c r="C15" s="14" t="s">
        <v>34</v>
      </c>
      <c r="D15" s="14" t="s">
        <v>93</v>
      </c>
      <c r="E15" s="14">
        <v>6</v>
      </c>
      <c r="F15" s="14" t="str">
        <f>IFERROR(INDEX(Stadiums!$B$2:$B$17,MATCH($E15,Stadiums!$A$2:$A$17,0)),"")</f>
        <v>Atlanta Stadium</v>
      </c>
      <c r="G15" s="14">
        <v>10</v>
      </c>
      <c r="H15" s="14" t="str">
        <f>IFERROR(INDEX(Teams!$B$2:$B$49,MATCH($G15,Teams!$A$2:$A$49,0)),"")</f>
        <v>Spain</v>
      </c>
      <c r="I15" s="14">
        <v>15</v>
      </c>
      <c r="J15" s="14" t="str">
        <f>IFERROR(INDEX(Teams!$B$2:$B$49,MATCH($I15,Teams!$A$2:$A$49,0)),"")</f>
        <v>Cabo Verde</v>
      </c>
      <c r="K15" s="14">
        <v>0</v>
      </c>
      <c r="L15" s="14">
        <v>0</v>
      </c>
      <c r="M15" s="14"/>
      <c r="N15" s="14" t="str">
        <f>IFERROR(INDEX(Teams!$B$2:$B$49,MATCH($M15,Teams!$A$2:$A$49,0)),"Draw")</f>
        <v>Draw</v>
      </c>
      <c r="O15" s="14" t="s">
        <v>20</v>
      </c>
      <c r="P15" s="14">
        <v>0</v>
      </c>
      <c r="Q15" s="14">
        <v>0</v>
      </c>
    </row>
    <row r="16" spans="1:17" x14ac:dyDescent="0.3">
      <c r="A16" s="14">
        <v>15</v>
      </c>
      <c r="B16" s="14" t="s">
        <v>190</v>
      </c>
      <c r="C16" s="14" t="s">
        <v>34</v>
      </c>
      <c r="D16" s="14" t="s">
        <v>69</v>
      </c>
      <c r="E16" s="14">
        <v>11</v>
      </c>
      <c r="F16" s="14" t="str">
        <f>IFERROR(INDEX(Stadiums!$B$2:$B$17,MATCH($E16,Stadiums!$A$2:$A$17,0)),"")</f>
        <v>Los Angeles Stadium</v>
      </c>
      <c r="G16" s="14">
        <v>30</v>
      </c>
      <c r="H16" s="14" t="str">
        <f>IFERROR(INDEX(Teams!$B$2:$B$49,MATCH($G16,Teams!$A$2:$A$49,0)),"")</f>
        <v>IR Iran</v>
      </c>
      <c r="I16" s="14">
        <v>42</v>
      </c>
      <c r="J16" s="14" t="str">
        <f>IFERROR(INDEX(Teams!$B$2:$B$49,MATCH($I16,Teams!$A$2:$A$49,0)),"")</f>
        <v>New Zealand</v>
      </c>
      <c r="K16" s="14">
        <v>2</v>
      </c>
      <c r="L16" s="14">
        <v>2</v>
      </c>
      <c r="M16" s="14"/>
      <c r="N16" s="14" t="str">
        <f>IFERROR(INDEX(Teams!$B$2:$B$49,MATCH($M16,Teams!$A$2:$A$49,0)),"Draw")</f>
        <v>Draw</v>
      </c>
      <c r="O16" s="14" t="s">
        <v>20</v>
      </c>
      <c r="P16" s="14">
        <v>4</v>
      </c>
      <c r="Q16" s="14">
        <v>0</v>
      </c>
    </row>
    <row r="17" spans="1:17" x14ac:dyDescent="0.3">
      <c r="A17" s="14">
        <v>16</v>
      </c>
      <c r="B17" s="14" t="s">
        <v>190</v>
      </c>
      <c r="C17" s="14" t="s">
        <v>34</v>
      </c>
      <c r="D17" s="14" t="s">
        <v>69</v>
      </c>
      <c r="E17" s="14">
        <v>16</v>
      </c>
      <c r="F17" s="14" t="str">
        <f>IFERROR(INDEX(Stadiums!$B$2:$B$17,MATCH($E17,Stadiums!$A$2:$A$17,0)),"")</f>
        <v>Seattle Stadium</v>
      </c>
      <c r="G17" s="14">
        <v>2</v>
      </c>
      <c r="H17" s="14" t="str">
        <f>IFERROR(INDEX(Teams!$B$2:$B$49,MATCH($G17,Teams!$A$2:$A$49,0)),"")</f>
        <v>Belgium</v>
      </c>
      <c r="I17" s="14">
        <v>19</v>
      </c>
      <c r="J17" s="14" t="str">
        <f>IFERROR(INDEX(Teams!$B$2:$B$49,MATCH($I17,Teams!$A$2:$A$49,0)),"")</f>
        <v>Egypt</v>
      </c>
      <c r="K17" s="14">
        <v>1</v>
      </c>
      <c r="L17" s="14">
        <v>1</v>
      </c>
      <c r="M17" s="14"/>
      <c r="N17" s="14" t="str">
        <f>IFERROR(INDEX(Teams!$B$2:$B$49,MATCH($M17,Teams!$A$2:$A$49,0)),"Draw")</f>
        <v>Draw</v>
      </c>
      <c r="O17" s="14" t="s">
        <v>20</v>
      </c>
      <c r="P17" s="14">
        <v>2</v>
      </c>
      <c r="Q17" s="14">
        <v>0</v>
      </c>
    </row>
    <row r="18" spans="1:17" x14ac:dyDescent="0.3">
      <c r="A18" s="14">
        <v>17</v>
      </c>
      <c r="B18" s="14" t="s">
        <v>191</v>
      </c>
      <c r="C18" s="14" t="s">
        <v>34</v>
      </c>
      <c r="D18" s="14" t="s">
        <v>81</v>
      </c>
      <c r="E18" s="14">
        <v>13</v>
      </c>
      <c r="F18" s="14" t="str">
        <f>IFERROR(INDEX(Stadiums!$B$2:$B$17,MATCH($E18,Stadiums!$A$2:$A$17,0)),"")</f>
        <v>New York New Jersey Stadium</v>
      </c>
      <c r="G18" s="14">
        <v>6</v>
      </c>
      <c r="H18" s="14" t="str">
        <f>IFERROR(INDEX(Teams!$B$2:$B$49,MATCH($G18,Teams!$A$2:$A$49,0)),"")</f>
        <v>France</v>
      </c>
      <c r="I18" s="14">
        <v>34</v>
      </c>
      <c r="J18" s="14" t="str">
        <f>IFERROR(INDEX(Teams!$B$2:$B$49,MATCH($I18,Teams!$A$2:$A$49,0)),"")</f>
        <v>Senegal</v>
      </c>
      <c r="K18" s="14">
        <v>3</v>
      </c>
      <c r="L18" s="14">
        <v>1</v>
      </c>
      <c r="M18" s="14">
        <v>6</v>
      </c>
      <c r="N18" s="14" t="str">
        <f>IFERROR(INDEX(Teams!$B$2:$B$49,MATCH($M18,Teams!$A$2:$A$49,0)),"Draw")</f>
        <v>France</v>
      </c>
      <c r="O18" s="14" t="s">
        <v>19</v>
      </c>
      <c r="P18" s="14">
        <v>4</v>
      </c>
      <c r="Q18" s="14">
        <v>2</v>
      </c>
    </row>
    <row r="19" spans="1:17" x14ac:dyDescent="0.3">
      <c r="A19" s="14">
        <v>18</v>
      </c>
      <c r="B19" s="14" t="s">
        <v>191</v>
      </c>
      <c r="C19" s="14" t="s">
        <v>34</v>
      </c>
      <c r="D19" s="14" t="s">
        <v>81</v>
      </c>
      <c r="E19" s="14">
        <v>7</v>
      </c>
      <c r="F19" s="14" t="str">
        <f>IFERROR(INDEX(Stadiums!$B$2:$B$17,MATCH($E19,Stadiums!$A$2:$A$17,0)),"")</f>
        <v>Boston Stadium</v>
      </c>
      <c r="G19" s="14">
        <v>40</v>
      </c>
      <c r="H19" s="14" t="str">
        <f>IFERROR(INDEX(Teams!$B$2:$B$49,MATCH($G19,Teams!$A$2:$A$49,0)),"")</f>
        <v>Iraq</v>
      </c>
      <c r="I19" s="14">
        <v>22</v>
      </c>
      <c r="J19" s="14" t="str">
        <f>IFERROR(INDEX(Teams!$B$2:$B$49,MATCH($I19,Teams!$A$2:$A$49,0)),"")</f>
        <v>Norway</v>
      </c>
      <c r="K19" s="14">
        <v>1</v>
      </c>
      <c r="L19" s="14">
        <v>4</v>
      </c>
      <c r="M19" s="14">
        <v>22</v>
      </c>
      <c r="N19" s="14" t="str">
        <f>IFERROR(INDEX(Teams!$B$2:$B$49,MATCH($M19,Teams!$A$2:$A$49,0)),"Draw")</f>
        <v>Norway</v>
      </c>
      <c r="O19" s="14" t="s">
        <v>21</v>
      </c>
      <c r="P19" s="14">
        <v>5</v>
      </c>
      <c r="Q19" s="14">
        <v>3</v>
      </c>
    </row>
    <row r="20" spans="1:17" x14ac:dyDescent="0.3">
      <c r="A20" s="14">
        <v>19</v>
      </c>
      <c r="B20" s="14" t="s">
        <v>191</v>
      </c>
      <c r="C20" s="14" t="s">
        <v>34</v>
      </c>
      <c r="D20" s="14" t="s">
        <v>66</v>
      </c>
      <c r="E20" s="14">
        <v>10</v>
      </c>
      <c r="F20" s="14" t="str">
        <f>IFERROR(INDEX(Stadiums!$B$2:$B$17,MATCH($E20,Stadiums!$A$2:$A$17,0)),"")</f>
        <v>Kansas City Stadium</v>
      </c>
      <c r="G20" s="14">
        <v>1</v>
      </c>
      <c r="H20" s="14" t="str">
        <f>IFERROR(INDEX(Teams!$B$2:$B$49,MATCH($G20,Teams!$A$2:$A$49,0)),"")</f>
        <v>Argentina</v>
      </c>
      <c r="I20" s="14">
        <v>25</v>
      </c>
      <c r="J20" s="14" t="str">
        <f>IFERROR(INDEX(Teams!$B$2:$B$49,MATCH($I20,Teams!$A$2:$A$49,0)),"")</f>
        <v>Algeria</v>
      </c>
      <c r="K20" s="14">
        <v>3</v>
      </c>
      <c r="L20" s="14">
        <v>0</v>
      </c>
      <c r="M20" s="14">
        <v>1</v>
      </c>
      <c r="N20" s="14" t="str">
        <f>IFERROR(INDEX(Teams!$B$2:$B$49,MATCH($M20,Teams!$A$2:$A$49,0)),"Draw")</f>
        <v>Argentina</v>
      </c>
      <c r="O20" s="14" t="s">
        <v>19</v>
      </c>
      <c r="P20" s="14">
        <v>3</v>
      </c>
      <c r="Q20" s="14">
        <v>3</v>
      </c>
    </row>
    <row r="21" spans="1:17" x14ac:dyDescent="0.3">
      <c r="A21" s="14">
        <v>20</v>
      </c>
      <c r="B21" s="14" t="s">
        <v>191</v>
      </c>
      <c r="C21" s="14" t="s">
        <v>34</v>
      </c>
      <c r="D21" s="14" t="s">
        <v>66</v>
      </c>
      <c r="E21" s="14">
        <v>15</v>
      </c>
      <c r="F21" s="14" t="str">
        <f>IFERROR(INDEX(Stadiums!$B$2:$B$17,MATCH($E21,Stadiums!$A$2:$A$17,0)),"")</f>
        <v>San Francisco Bay Area Stadium</v>
      </c>
      <c r="G21" s="14">
        <v>14</v>
      </c>
      <c r="H21" s="14" t="str">
        <f>IFERROR(INDEX(Teams!$B$2:$B$49,MATCH($G21,Teams!$A$2:$A$49,0)),"")</f>
        <v>Austria</v>
      </c>
      <c r="I21" s="14">
        <v>41</v>
      </c>
      <c r="J21" s="14" t="str">
        <f>IFERROR(INDEX(Teams!$B$2:$B$49,MATCH($I21,Teams!$A$2:$A$49,0)),"")</f>
        <v>Jordan</v>
      </c>
      <c r="K21" s="14">
        <v>3</v>
      </c>
      <c r="L21" s="14">
        <v>1</v>
      </c>
      <c r="M21" s="14">
        <v>14</v>
      </c>
      <c r="N21" s="14" t="str">
        <f>IFERROR(INDEX(Teams!$B$2:$B$49,MATCH($M21,Teams!$A$2:$A$49,0)),"Draw")</f>
        <v>Austria</v>
      </c>
      <c r="O21" s="14" t="s">
        <v>19</v>
      </c>
      <c r="P21" s="14">
        <v>4</v>
      </c>
      <c r="Q21" s="14">
        <v>2</v>
      </c>
    </row>
    <row r="22" spans="1:17" x14ac:dyDescent="0.3">
      <c r="A22" s="14">
        <v>21</v>
      </c>
      <c r="B22" s="14" t="s">
        <v>192</v>
      </c>
      <c r="C22" s="14" t="s">
        <v>34</v>
      </c>
      <c r="D22" s="14" t="s">
        <v>78</v>
      </c>
      <c r="E22" s="14">
        <v>1</v>
      </c>
      <c r="F22" s="14" t="str">
        <f>IFERROR(INDEX(Stadiums!$B$2:$B$17,MATCH($E22,Stadiums!$A$2:$A$17,0)),"")</f>
        <v>Toronto Stadium</v>
      </c>
      <c r="G22" s="14">
        <v>29</v>
      </c>
      <c r="H22" s="14" t="str">
        <f>IFERROR(INDEX(Teams!$B$2:$B$49,MATCH($G22,Teams!$A$2:$A$49,0)),"")</f>
        <v>Ghana</v>
      </c>
      <c r="I22" s="14">
        <v>43</v>
      </c>
      <c r="J22" s="14" t="str">
        <f>IFERROR(INDEX(Teams!$B$2:$B$49,MATCH($I22,Teams!$A$2:$A$49,0)),"")</f>
        <v>Panama</v>
      </c>
      <c r="K22" s="14">
        <v>1</v>
      </c>
      <c r="L22" s="14">
        <v>0</v>
      </c>
      <c r="M22" s="14">
        <v>29</v>
      </c>
      <c r="N22" s="14" t="str">
        <f>IFERROR(INDEX(Teams!$B$2:$B$49,MATCH($M22,Teams!$A$2:$A$49,0)),"Draw")</f>
        <v>Ghana</v>
      </c>
      <c r="O22" s="14" t="s">
        <v>19</v>
      </c>
      <c r="P22" s="14">
        <v>1</v>
      </c>
      <c r="Q22" s="14">
        <v>1</v>
      </c>
    </row>
    <row r="23" spans="1:17" x14ac:dyDescent="0.3">
      <c r="A23" s="14">
        <v>22</v>
      </c>
      <c r="B23" s="14" t="s">
        <v>192</v>
      </c>
      <c r="C23" s="14" t="s">
        <v>34</v>
      </c>
      <c r="D23" s="14" t="s">
        <v>78</v>
      </c>
      <c r="E23" s="14">
        <v>8</v>
      </c>
      <c r="F23" s="14" t="str">
        <f>IFERROR(INDEX(Stadiums!$B$2:$B$17,MATCH($E23,Stadiums!$A$2:$A$17,0)),"")</f>
        <v>Dallas Stadium</v>
      </c>
      <c r="G23" s="14">
        <v>5</v>
      </c>
      <c r="H23" s="14" t="str">
        <f>IFERROR(INDEX(Teams!$B$2:$B$49,MATCH($G23,Teams!$A$2:$A$49,0)),"")</f>
        <v>England</v>
      </c>
      <c r="I23" s="14">
        <v>18</v>
      </c>
      <c r="J23" s="14" t="str">
        <f>IFERROR(INDEX(Teams!$B$2:$B$49,MATCH($I23,Teams!$A$2:$A$49,0)),"")</f>
        <v>Croatia</v>
      </c>
      <c r="K23" s="14">
        <v>4</v>
      </c>
      <c r="L23" s="14">
        <v>2</v>
      </c>
      <c r="M23" s="14">
        <v>5</v>
      </c>
      <c r="N23" s="14" t="str">
        <f>IFERROR(INDEX(Teams!$B$2:$B$49,MATCH($M23,Teams!$A$2:$A$49,0)),"Draw")</f>
        <v>England</v>
      </c>
      <c r="O23" s="14" t="s">
        <v>19</v>
      </c>
      <c r="P23" s="14">
        <v>6</v>
      </c>
      <c r="Q23" s="14">
        <v>2</v>
      </c>
    </row>
    <row r="24" spans="1:17" x14ac:dyDescent="0.3">
      <c r="A24" s="14">
        <v>23</v>
      </c>
      <c r="B24" s="14" t="s">
        <v>192</v>
      </c>
      <c r="C24" s="14" t="s">
        <v>34</v>
      </c>
      <c r="D24" s="14" t="s">
        <v>75</v>
      </c>
      <c r="E24" s="14">
        <v>9</v>
      </c>
      <c r="F24" s="14" t="str">
        <f>IFERROR(INDEX(Stadiums!$B$2:$B$17,MATCH($E24,Stadiums!$A$2:$A$17,0)),"")</f>
        <v>Houston Stadium</v>
      </c>
      <c r="G24" s="14">
        <v>23</v>
      </c>
      <c r="H24" s="14" t="str">
        <f>IFERROR(INDEX(Teams!$B$2:$B$49,MATCH($G24,Teams!$A$2:$A$49,0)),"")</f>
        <v>Portugal</v>
      </c>
      <c r="I24" s="14">
        <v>27</v>
      </c>
      <c r="J24" s="14" t="str">
        <f>IFERROR(INDEX(Teams!$B$2:$B$49,MATCH($I24,Teams!$A$2:$A$49,0)),"")</f>
        <v>Congo DR</v>
      </c>
      <c r="K24" s="14">
        <v>1</v>
      </c>
      <c r="L24" s="14">
        <v>1</v>
      </c>
      <c r="M24" s="14"/>
      <c r="N24" s="14" t="str">
        <f>IFERROR(INDEX(Teams!$B$2:$B$49,MATCH($M24,Teams!$A$2:$A$49,0)),"Draw")</f>
        <v>Draw</v>
      </c>
      <c r="O24" s="14" t="s">
        <v>20</v>
      </c>
      <c r="P24" s="14">
        <v>2</v>
      </c>
      <c r="Q24" s="14">
        <v>0</v>
      </c>
    </row>
    <row r="25" spans="1:17" x14ac:dyDescent="0.3">
      <c r="A25" s="14">
        <v>24</v>
      </c>
      <c r="B25" s="14" t="s">
        <v>192</v>
      </c>
      <c r="C25" s="14" t="s">
        <v>34</v>
      </c>
      <c r="D25" s="14" t="s">
        <v>75</v>
      </c>
      <c r="E25" s="14">
        <v>3</v>
      </c>
      <c r="F25" s="14" t="str">
        <f>IFERROR(INDEX(Stadiums!$B$2:$B$17,MATCH($E25,Stadiums!$A$2:$A$17,0)),"")</f>
        <v>Mexico City Stadium</v>
      </c>
      <c r="G25" s="14">
        <v>48</v>
      </c>
      <c r="H25" s="14" t="str">
        <f>IFERROR(INDEX(Teams!$B$2:$B$49,MATCH($G25,Teams!$A$2:$A$49,0)),"")</f>
        <v>Uzbekistan</v>
      </c>
      <c r="I25" s="14">
        <v>4</v>
      </c>
      <c r="J25" s="14" t="str">
        <f>IFERROR(INDEX(Teams!$B$2:$B$49,MATCH($I25,Teams!$A$2:$A$49,0)),"")</f>
        <v>Colombia</v>
      </c>
      <c r="K25" s="14">
        <v>1</v>
      </c>
      <c r="L25" s="14">
        <v>3</v>
      </c>
      <c r="M25" s="14">
        <v>4</v>
      </c>
      <c r="N25" s="14" t="str">
        <f>IFERROR(INDEX(Teams!$B$2:$B$49,MATCH($M25,Teams!$A$2:$A$49,0)),"Draw")</f>
        <v>Colombia</v>
      </c>
      <c r="O25" s="14" t="s">
        <v>21</v>
      </c>
      <c r="P25" s="14">
        <v>4</v>
      </c>
      <c r="Q25" s="14">
        <v>2</v>
      </c>
    </row>
    <row r="26" spans="1:17" x14ac:dyDescent="0.3">
      <c r="A26" s="14">
        <v>25</v>
      </c>
      <c r="B26" s="14" t="s">
        <v>193</v>
      </c>
      <c r="C26" s="14" t="s">
        <v>34</v>
      </c>
      <c r="D26" s="14" t="s">
        <v>87</v>
      </c>
      <c r="E26" s="14">
        <v>6</v>
      </c>
      <c r="F26" s="14" t="str">
        <f>IFERROR(INDEX(Stadiums!$B$2:$B$17,MATCH($E26,Stadiums!$A$2:$A$17,0)),"")</f>
        <v>Atlanta Stadium</v>
      </c>
      <c r="G26" s="14">
        <v>38</v>
      </c>
      <c r="H26" s="14" t="str">
        <f>IFERROR(INDEX(Teams!$B$2:$B$49,MATCH($G26,Teams!$A$2:$A$49,0)),"")</f>
        <v>Czechia</v>
      </c>
      <c r="I26" s="14">
        <v>24</v>
      </c>
      <c r="J26" s="14" t="str">
        <f>IFERROR(INDEX(Teams!$B$2:$B$49,MATCH($I26,Teams!$A$2:$A$49,0)),"")</f>
        <v>South Africa</v>
      </c>
      <c r="K26" s="14">
        <v>1</v>
      </c>
      <c r="L26" s="14">
        <v>1</v>
      </c>
      <c r="M26" s="14"/>
      <c r="N26" s="14" t="str">
        <f>IFERROR(INDEX(Teams!$B$2:$B$49,MATCH($M26,Teams!$A$2:$A$49,0)),"Draw")</f>
        <v>Draw</v>
      </c>
      <c r="O26" s="14" t="s">
        <v>20</v>
      </c>
      <c r="P26" s="14">
        <v>2</v>
      </c>
      <c r="Q26" s="14">
        <v>0</v>
      </c>
    </row>
    <row r="27" spans="1:17" x14ac:dyDescent="0.3">
      <c r="A27" s="14">
        <v>26</v>
      </c>
      <c r="B27" s="14" t="s">
        <v>193</v>
      </c>
      <c r="C27" s="14" t="s">
        <v>34</v>
      </c>
      <c r="D27" s="14" t="s">
        <v>96</v>
      </c>
      <c r="E27" s="14">
        <v>11</v>
      </c>
      <c r="F27" s="14" t="str">
        <f>IFERROR(INDEX(Stadiums!$B$2:$B$17,MATCH($E27,Stadiums!$A$2:$A$17,0)),"")</f>
        <v>Los Angeles Stadium</v>
      </c>
      <c r="G27" s="14">
        <v>11</v>
      </c>
      <c r="H27" s="14" t="str">
        <f>IFERROR(INDEX(Teams!$B$2:$B$49,MATCH($G27,Teams!$A$2:$A$49,0)),"")</f>
        <v>Switzerland</v>
      </c>
      <c r="I27" s="14">
        <v>26</v>
      </c>
      <c r="J27" s="14" t="str">
        <f>IFERROR(INDEX(Teams!$B$2:$B$49,MATCH($I27,Teams!$A$2:$A$49,0)),"")</f>
        <v>Bosnia and Herzegovina</v>
      </c>
      <c r="K27" s="14">
        <v>4</v>
      </c>
      <c r="L27" s="14">
        <v>1</v>
      </c>
      <c r="M27" s="14">
        <v>11</v>
      </c>
      <c r="N27" s="14" t="str">
        <f>IFERROR(INDEX(Teams!$B$2:$B$49,MATCH($M27,Teams!$A$2:$A$49,0)),"Draw")</f>
        <v>Switzerland</v>
      </c>
      <c r="O27" s="14" t="s">
        <v>19</v>
      </c>
      <c r="P27" s="14">
        <v>5</v>
      </c>
      <c r="Q27" s="14">
        <v>3</v>
      </c>
    </row>
    <row r="28" spans="1:17" x14ac:dyDescent="0.3">
      <c r="A28" s="14">
        <v>27</v>
      </c>
      <c r="B28" s="14" t="s">
        <v>193</v>
      </c>
      <c r="C28" s="14" t="s">
        <v>34</v>
      </c>
      <c r="D28" s="14" t="s">
        <v>96</v>
      </c>
      <c r="E28" s="14">
        <v>2</v>
      </c>
      <c r="F28" s="14" t="str">
        <f>IFERROR(INDEX(Stadiums!$B$2:$B$17,MATCH($E28,Stadiums!$A$2:$A$17,0)),"")</f>
        <v>BC Place Vancouver</v>
      </c>
      <c r="G28" s="14">
        <v>16</v>
      </c>
      <c r="H28" s="14" t="str">
        <f>IFERROR(INDEX(Teams!$B$2:$B$49,MATCH($G28,Teams!$A$2:$A$49,0)),"")</f>
        <v>Canada</v>
      </c>
      <c r="I28" s="14">
        <v>44</v>
      </c>
      <c r="J28" s="14" t="str">
        <f>IFERROR(INDEX(Teams!$B$2:$B$49,MATCH($I28,Teams!$A$2:$A$49,0)),"")</f>
        <v>Qatar</v>
      </c>
      <c r="K28" s="14">
        <v>6</v>
      </c>
      <c r="L28" s="14">
        <v>0</v>
      </c>
      <c r="M28" s="14">
        <v>16</v>
      </c>
      <c r="N28" s="14" t="str">
        <f>IFERROR(INDEX(Teams!$B$2:$B$49,MATCH($M28,Teams!$A$2:$A$49,0)),"Draw")</f>
        <v>Canada</v>
      </c>
      <c r="O28" s="14" t="s">
        <v>19</v>
      </c>
      <c r="P28" s="14">
        <v>6</v>
      </c>
      <c r="Q28" s="14">
        <v>6</v>
      </c>
    </row>
    <row r="29" spans="1:17" x14ac:dyDescent="0.3">
      <c r="A29" s="14">
        <v>28</v>
      </c>
      <c r="B29" s="14" t="s">
        <v>193</v>
      </c>
      <c r="C29" s="14" t="s">
        <v>34</v>
      </c>
      <c r="D29" s="14" t="s">
        <v>87</v>
      </c>
      <c r="E29" s="14">
        <v>4</v>
      </c>
      <c r="F29" s="14" t="str">
        <f>IFERROR(INDEX(Stadiums!$B$2:$B$17,MATCH($E29,Stadiums!$A$2:$A$17,0)),"")</f>
        <v>Guadalajara Stadium</v>
      </c>
      <c r="G29" s="14">
        <v>8</v>
      </c>
      <c r="H29" s="14" t="str">
        <f>IFERROR(INDEX(Teams!$B$2:$B$49,MATCH($G29,Teams!$A$2:$A$49,0)),"")</f>
        <v>Mexico</v>
      </c>
      <c r="I29" s="14">
        <v>31</v>
      </c>
      <c r="J29" s="14" t="str">
        <f>IFERROR(INDEX(Teams!$B$2:$B$49,MATCH($I29,Teams!$A$2:$A$49,0)),"")</f>
        <v>Korea Republic</v>
      </c>
      <c r="K29" s="14">
        <v>1</v>
      </c>
      <c r="L29" s="14">
        <v>0</v>
      </c>
      <c r="M29" s="14">
        <v>8</v>
      </c>
      <c r="N29" s="14" t="str">
        <f>IFERROR(INDEX(Teams!$B$2:$B$49,MATCH($M29,Teams!$A$2:$A$49,0)),"Draw")</f>
        <v>Mexico</v>
      </c>
      <c r="O29" s="14" t="s">
        <v>19</v>
      </c>
      <c r="P29" s="14">
        <v>1</v>
      </c>
      <c r="Q29" s="14">
        <v>1</v>
      </c>
    </row>
    <row r="30" spans="1:17" x14ac:dyDescent="0.3">
      <c r="A30" s="14">
        <v>29</v>
      </c>
      <c r="B30" s="14" t="s">
        <v>194</v>
      </c>
      <c r="C30" s="14" t="s">
        <v>34</v>
      </c>
      <c r="D30" s="14" t="s">
        <v>72</v>
      </c>
      <c r="E30" s="14">
        <v>14</v>
      </c>
      <c r="F30" s="14" t="str">
        <f>IFERROR(INDEX(Stadiums!$B$2:$B$17,MATCH($E30,Stadiums!$A$2:$A$17,0)),"")</f>
        <v>Philadelphia Stadium</v>
      </c>
      <c r="G30" s="14">
        <v>3</v>
      </c>
      <c r="H30" s="14" t="str">
        <f>IFERROR(INDEX(Teams!$B$2:$B$49,MATCH($G30,Teams!$A$2:$A$49,0)),"")</f>
        <v>Brazil</v>
      </c>
      <c r="I30" s="14">
        <v>39</v>
      </c>
      <c r="J30" s="14" t="str">
        <f>IFERROR(INDEX(Teams!$B$2:$B$49,MATCH($I30,Teams!$A$2:$A$49,0)),"")</f>
        <v>Haiti</v>
      </c>
      <c r="K30" s="14">
        <v>3</v>
      </c>
      <c r="L30" s="14">
        <v>0</v>
      </c>
      <c r="M30" s="14">
        <v>3</v>
      </c>
      <c r="N30" s="14" t="str">
        <f>IFERROR(INDEX(Teams!$B$2:$B$49,MATCH($M30,Teams!$A$2:$A$49,0)),"Draw")</f>
        <v>Brazil</v>
      </c>
      <c r="O30" s="14" t="s">
        <v>19</v>
      </c>
      <c r="P30" s="14">
        <v>3</v>
      </c>
      <c r="Q30" s="14">
        <v>3</v>
      </c>
    </row>
    <row r="31" spans="1:17" x14ac:dyDescent="0.3">
      <c r="A31" s="14">
        <v>30</v>
      </c>
      <c r="B31" s="14" t="s">
        <v>194</v>
      </c>
      <c r="C31" s="14" t="s">
        <v>34</v>
      </c>
      <c r="D31" s="14" t="s">
        <v>72</v>
      </c>
      <c r="E31" s="14">
        <v>7</v>
      </c>
      <c r="F31" s="14" t="str">
        <f>IFERROR(INDEX(Stadiums!$B$2:$B$17,MATCH($E31,Stadiums!$A$2:$A$17,0)),"")</f>
        <v>Boston Stadium</v>
      </c>
      <c r="G31" s="14">
        <v>33</v>
      </c>
      <c r="H31" s="14" t="str">
        <f>IFERROR(INDEX(Teams!$B$2:$B$49,MATCH($G31,Teams!$A$2:$A$49,0)),"")</f>
        <v>Scotland</v>
      </c>
      <c r="I31" s="14">
        <v>21</v>
      </c>
      <c r="J31" s="14" t="str">
        <f>IFERROR(INDEX(Teams!$B$2:$B$49,MATCH($I31,Teams!$A$2:$A$49,0)),"")</f>
        <v>Morocco</v>
      </c>
      <c r="K31" s="14">
        <v>0</v>
      </c>
      <c r="L31" s="14">
        <v>1</v>
      </c>
      <c r="M31" s="14">
        <v>21</v>
      </c>
      <c r="N31" s="14" t="str">
        <f>IFERROR(INDEX(Teams!$B$2:$B$49,MATCH($M31,Teams!$A$2:$A$49,0)),"Draw")</f>
        <v>Morocco</v>
      </c>
      <c r="O31" s="14" t="s">
        <v>21</v>
      </c>
      <c r="P31" s="14">
        <v>1</v>
      </c>
      <c r="Q31" s="14">
        <v>1</v>
      </c>
    </row>
    <row r="32" spans="1:17" x14ac:dyDescent="0.3">
      <c r="A32" s="14">
        <v>31</v>
      </c>
      <c r="B32" s="14" t="s">
        <v>194</v>
      </c>
      <c r="C32" s="14" t="s">
        <v>34</v>
      </c>
      <c r="D32" s="14" t="s">
        <v>98</v>
      </c>
      <c r="E32" s="14">
        <v>15</v>
      </c>
      <c r="F32" s="14" t="str">
        <f>IFERROR(INDEX(Stadiums!$B$2:$B$17,MATCH($E32,Stadiums!$A$2:$A$17,0)),"")</f>
        <v>San Francisco Bay Area Stadium</v>
      </c>
      <c r="G32" s="14">
        <v>47</v>
      </c>
      <c r="H32" s="14" t="str">
        <f>IFERROR(INDEX(Teams!$B$2:$B$49,MATCH($G32,Teams!$A$2:$A$49,0)),"")</f>
        <v>Türkiye</v>
      </c>
      <c r="I32" s="14">
        <v>32</v>
      </c>
      <c r="J32" s="14" t="str">
        <f>IFERROR(INDEX(Teams!$B$2:$B$49,MATCH($I32,Teams!$A$2:$A$49,0)),"")</f>
        <v>Paraguay</v>
      </c>
      <c r="K32" s="14">
        <v>0</v>
      </c>
      <c r="L32" s="14">
        <v>1</v>
      </c>
      <c r="M32" s="14">
        <v>32</v>
      </c>
      <c r="N32" s="14" t="str">
        <f>IFERROR(INDEX(Teams!$B$2:$B$49,MATCH($M32,Teams!$A$2:$A$49,0)),"Draw")</f>
        <v>Paraguay</v>
      </c>
      <c r="O32" s="14" t="s">
        <v>21</v>
      </c>
      <c r="P32" s="14">
        <v>1</v>
      </c>
      <c r="Q32" s="14">
        <v>1</v>
      </c>
    </row>
    <row r="33" spans="1:17" x14ac:dyDescent="0.3">
      <c r="A33" s="14">
        <v>32</v>
      </c>
      <c r="B33" s="14" t="s">
        <v>194</v>
      </c>
      <c r="C33" s="14" t="s">
        <v>34</v>
      </c>
      <c r="D33" s="14" t="s">
        <v>98</v>
      </c>
      <c r="E33" s="14">
        <v>16</v>
      </c>
      <c r="F33" s="14" t="str">
        <f>IFERROR(INDEX(Stadiums!$B$2:$B$17,MATCH($E33,Stadiums!$A$2:$A$17,0)),"")</f>
        <v>Seattle Stadium</v>
      </c>
      <c r="G33" s="14">
        <v>12</v>
      </c>
      <c r="H33" s="14" t="str">
        <f>IFERROR(INDEX(Teams!$B$2:$B$49,MATCH($G33,Teams!$A$2:$A$49,0)),"")</f>
        <v>USA</v>
      </c>
      <c r="I33" s="14">
        <v>13</v>
      </c>
      <c r="J33" s="14" t="str">
        <f>IFERROR(INDEX(Teams!$B$2:$B$49,MATCH($I33,Teams!$A$2:$A$49,0)),"")</f>
        <v>Australia</v>
      </c>
      <c r="K33" s="14">
        <v>2</v>
      </c>
      <c r="L33" s="14">
        <v>0</v>
      </c>
      <c r="M33" s="14">
        <v>12</v>
      </c>
      <c r="N33" s="14" t="str">
        <f>IFERROR(INDEX(Teams!$B$2:$B$49,MATCH($M33,Teams!$A$2:$A$49,0)),"Draw")</f>
        <v>USA</v>
      </c>
      <c r="O33" s="14" t="s">
        <v>19</v>
      </c>
      <c r="P33" s="14">
        <v>2</v>
      </c>
      <c r="Q33" s="14">
        <v>2</v>
      </c>
    </row>
    <row r="34" spans="1:17" x14ac:dyDescent="0.3">
      <c r="A34" s="14">
        <v>33</v>
      </c>
      <c r="B34" s="14" t="s">
        <v>195</v>
      </c>
      <c r="C34" s="14" t="s">
        <v>34</v>
      </c>
      <c r="D34" s="14" t="s">
        <v>84</v>
      </c>
      <c r="E34" s="14">
        <v>1</v>
      </c>
      <c r="F34" s="14" t="str">
        <f>IFERROR(INDEX(Stadiums!$B$2:$B$17,MATCH($E34,Stadiums!$A$2:$A$17,0)),"")</f>
        <v>Toronto Stadium</v>
      </c>
      <c r="G34" s="14">
        <v>7</v>
      </c>
      <c r="H34" s="14" t="str">
        <f>IFERROR(INDEX(Teams!$B$2:$B$49,MATCH($G34,Teams!$A$2:$A$49,0)),"")</f>
        <v>Germany</v>
      </c>
      <c r="I34" s="14">
        <v>17</v>
      </c>
      <c r="J34" s="14" t="str">
        <f>IFERROR(INDEX(Teams!$B$2:$B$49,MATCH($I34,Teams!$A$2:$A$49,0)),"")</f>
        <v>Côte d'Ivoire</v>
      </c>
      <c r="K34" s="14">
        <v>2</v>
      </c>
      <c r="L34" s="14">
        <v>1</v>
      </c>
      <c r="M34" s="14">
        <v>7</v>
      </c>
      <c r="N34" s="14" t="str">
        <f>IFERROR(INDEX(Teams!$B$2:$B$49,MATCH($M34,Teams!$A$2:$A$49,0)),"Draw")</f>
        <v>Germany</v>
      </c>
      <c r="O34" s="14" t="s">
        <v>19</v>
      </c>
      <c r="P34" s="14">
        <v>3</v>
      </c>
      <c r="Q34" s="14">
        <v>1</v>
      </c>
    </row>
    <row r="35" spans="1:17" x14ac:dyDescent="0.3">
      <c r="A35" s="14">
        <v>34</v>
      </c>
      <c r="B35" s="14" t="s">
        <v>195</v>
      </c>
      <c r="C35" s="14" t="s">
        <v>34</v>
      </c>
      <c r="D35" s="14" t="s">
        <v>84</v>
      </c>
      <c r="E35" s="14">
        <v>10</v>
      </c>
      <c r="F35" s="14" t="str">
        <f>IFERROR(INDEX(Stadiums!$B$2:$B$17,MATCH($E35,Stadiums!$A$2:$A$17,0)),"")</f>
        <v>Kansas City Stadium</v>
      </c>
      <c r="G35" s="14">
        <v>28</v>
      </c>
      <c r="H35" s="14" t="str">
        <f>IFERROR(INDEX(Teams!$B$2:$B$49,MATCH($G35,Teams!$A$2:$A$49,0)),"")</f>
        <v>Ecuador</v>
      </c>
      <c r="I35" s="14">
        <v>37</v>
      </c>
      <c r="J35" s="14" t="str">
        <f>IFERROR(INDEX(Teams!$B$2:$B$49,MATCH($I35,Teams!$A$2:$A$49,0)),"")</f>
        <v>Curaçao</v>
      </c>
      <c r="K35" s="14">
        <v>0</v>
      </c>
      <c r="L35" s="14">
        <v>0</v>
      </c>
      <c r="M35" s="14"/>
      <c r="N35" s="14" t="str">
        <f>IFERROR(INDEX(Teams!$B$2:$B$49,MATCH($M35,Teams!$A$2:$A$49,0)),"Draw")</f>
        <v>Draw</v>
      </c>
      <c r="O35" s="14" t="s">
        <v>20</v>
      </c>
      <c r="P35" s="14">
        <v>0</v>
      </c>
      <c r="Q35" s="14">
        <v>0</v>
      </c>
    </row>
    <row r="36" spans="1:17" x14ac:dyDescent="0.3">
      <c r="A36" s="14">
        <v>35</v>
      </c>
      <c r="B36" s="14" t="s">
        <v>195</v>
      </c>
      <c r="C36" s="14" t="s">
        <v>34</v>
      </c>
      <c r="D36" s="14" t="s">
        <v>90</v>
      </c>
      <c r="E36" s="14">
        <v>9</v>
      </c>
      <c r="F36" s="14" t="str">
        <f>IFERROR(INDEX(Stadiums!$B$2:$B$17,MATCH($E36,Stadiums!$A$2:$A$17,0)),"")</f>
        <v>Houston Stadium</v>
      </c>
      <c r="G36" s="14">
        <v>9</v>
      </c>
      <c r="H36" s="14" t="str">
        <f>IFERROR(INDEX(Teams!$B$2:$B$49,MATCH($G36,Teams!$A$2:$A$49,0)),"")</f>
        <v>Netherlands</v>
      </c>
      <c r="I36" s="14">
        <v>35</v>
      </c>
      <c r="J36" s="14" t="str">
        <f>IFERROR(INDEX(Teams!$B$2:$B$49,MATCH($I36,Teams!$A$2:$A$49,0)),"")</f>
        <v>Sweden</v>
      </c>
      <c r="K36" s="14">
        <v>5</v>
      </c>
      <c r="L36" s="14">
        <v>1</v>
      </c>
      <c r="M36" s="14">
        <v>9</v>
      </c>
      <c r="N36" s="14" t="str">
        <f>IFERROR(INDEX(Teams!$B$2:$B$49,MATCH($M36,Teams!$A$2:$A$49,0)),"Draw")</f>
        <v>Netherlands</v>
      </c>
      <c r="O36" s="14" t="s">
        <v>19</v>
      </c>
      <c r="P36" s="14">
        <v>6</v>
      </c>
      <c r="Q36" s="14">
        <v>4</v>
      </c>
    </row>
    <row r="37" spans="1:17" x14ac:dyDescent="0.3">
      <c r="A37" s="14">
        <v>36</v>
      </c>
      <c r="B37" s="14" t="s">
        <v>195</v>
      </c>
      <c r="C37" s="14" t="s">
        <v>34</v>
      </c>
      <c r="D37" s="14" t="s">
        <v>90</v>
      </c>
      <c r="E37" s="14">
        <v>5</v>
      </c>
      <c r="F37" s="14" t="str">
        <f>IFERROR(INDEX(Stadiums!$B$2:$B$17,MATCH($E37,Stadiums!$A$2:$A$17,0)),"")</f>
        <v>Estadio Monterrey</v>
      </c>
      <c r="G37" s="14">
        <v>46</v>
      </c>
      <c r="H37" s="14" t="str">
        <f>IFERROR(INDEX(Teams!$B$2:$B$49,MATCH($G37,Teams!$A$2:$A$49,0)),"")</f>
        <v>Tunisia</v>
      </c>
      <c r="I37" s="14">
        <v>20</v>
      </c>
      <c r="J37" s="14" t="str">
        <f>IFERROR(INDEX(Teams!$B$2:$B$49,MATCH($I37,Teams!$A$2:$A$49,0)),"")</f>
        <v>Japan</v>
      </c>
      <c r="K37" s="14">
        <v>0</v>
      </c>
      <c r="L37" s="14">
        <v>4</v>
      </c>
      <c r="M37" s="14">
        <v>20</v>
      </c>
      <c r="N37" s="14" t="str">
        <f>IFERROR(INDEX(Teams!$B$2:$B$49,MATCH($M37,Teams!$A$2:$A$49,0)),"Draw")</f>
        <v>Japan</v>
      </c>
      <c r="O37" s="14" t="s">
        <v>21</v>
      </c>
      <c r="P37" s="14">
        <v>4</v>
      </c>
      <c r="Q37" s="14">
        <v>4</v>
      </c>
    </row>
    <row r="38" spans="1:17" x14ac:dyDescent="0.3">
      <c r="A38" s="14">
        <v>37</v>
      </c>
      <c r="B38" s="14" t="s">
        <v>196</v>
      </c>
      <c r="C38" s="14" t="s">
        <v>34</v>
      </c>
      <c r="D38" s="14" t="s">
        <v>93</v>
      </c>
      <c r="E38" s="14">
        <v>12</v>
      </c>
      <c r="F38" s="14" t="str">
        <f>IFERROR(INDEX(Stadiums!$B$2:$B$17,MATCH($E38,Stadiums!$A$2:$A$17,0)),"")</f>
        <v>Miami Stadium</v>
      </c>
      <c r="G38" s="14">
        <v>36</v>
      </c>
      <c r="H38" s="14" t="str">
        <f>IFERROR(INDEX(Teams!$B$2:$B$49,MATCH($G38,Teams!$A$2:$A$49,0)),"")</f>
        <v>Uruguay</v>
      </c>
      <c r="I38" s="14">
        <v>15</v>
      </c>
      <c r="J38" s="14" t="str">
        <f>IFERROR(INDEX(Teams!$B$2:$B$49,MATCH($I38,Teams!$A$2:$A$49,0)),"")</f>
        <v>Cabo Verde</v>
      </c>
      <c r="K38" s="14">
        <v>2</v>
      </c>
      <c r="L38" s="14">
        <v>2</v>
      </c>
      <c r="M38" s="14"/>
      <c r="N38" s="14" t="str">
        <f>IFERROR(INDEX(Teams!$B$2:$B$49,MATCH($M38,Teams!$A$2:$A$49,0)),"Draw")</f>
        <v>Draw</v>
      </c>
      <c r="O38" s="14" t="s">
        <v>20</v>
      </c>
      <c r="P38" s="14">
        <v>4</v>
      </c>
      <c r="Q38" s="14">
        <v>0</v>
      </c>
    </row>
    <row r="39" spans="1:17" x14ac:dyDescent="0.3">
      <c r="A39" s="14">
        <v>38</v>
      </c>
      <c r="B39" s="14" t="s">
        <v>196</v>
      </c>
      <c r="C39" s="14" t="s">
        <v>34</v>
      </c>
      <c r="D39" s="14" t="s">
        <v>93</v>
      </c>
      <c r="E39" s="14">
        <v>6</v>
      </c>
      <c r="F39" s="14" t="str">
        <f>IFERROR(INDEX(Stadiums!$B$2:$B$17,MATCH($E39,Stadiums!$A$2:$A$17,0)),"")</f>
        <v>Atlanta Stadium</v>
      </c>
      <c r="G39" s="14">
        <v>10</v>
      </c>
      <c r="H39" s="14" t="str">
        <f>IFERROR(INDEX(Teams!$B$2:$B$49,MATCH($G39,Teams!$A$2:$A$49,0)),"")</f>
        <v>Spain</v>
      </c>
      <c r="I39" s="14">
        <v>45</v>
      </c>
      <c r="J39" s="14" t="str">
        <f>IFERROR(INDEX(Teams!$B$2:$B$49,MATCH($I39,Teams!$A$2:$A$49,0)),"")</f>
        <v>Saudi Arabia</v>
      </c>
      <c r="K39" s="14">
        <v>4</v>
      </c>
      <c r="L39" s="14">
        <v>0</v>
      </c>
      <c r="M39" s="14">
        <v>10</v>
      </c>
      <c r="N39" s="14" t="str">
        <f>IFERROR(INDEX(Teams!$B$2:$B$49,MATCH($M39,Teams!$A$2:$A$49,0)),"Draw")</f>
        <v>Spain</v>
      </c>
      <c r="O39" s="14" t="s">
        <v>19</v>
      </c>
      <c r="P39" s="14">
        <v>4</v>
      </c>
      <c r="Q39" s="14">
        <v>4</v>
      </c>
    </row>
    <row r="40" spans="1:17" x14ac:dyDescent="0.3">
      <c r="A40" s="14">
        <v>39</v>
      </c>
      <c r="B40" s="14" t="s">
        <v>196</v>
      </c>
      <c r="C40" s="14" t="s">
        <v>34</v>
      </c>
      <c r="D40" s="14" t="s">
        <v>69</v>
      </c>
      <c r="E40" s="14">
        <v>11</v>
      </c>
      <c r="F40" s="14" t="str">
        <f>IFERROR(INDEX(Stadiums!$B$2:$B$17,MATCH($E40,Stadiums!$A$2:$A$17,0)),"")</f>
        <v>Los Angeles Stadium</v>
      </c>
      <c r="G40" s="14">
        <v>2</v>
      </c>
      <c r="H40" s="14" t="str">
        <f>IFERROR(INDEX(Teams!$B$2:$B$49,MATCH($G40,Teams!$A$2:$A$49,0)),"")</f>
        <v>Belgium</v>
      </c>
      <c r="I40" s="14">
        <v>30</v>
      </c>
      <c r="J40" s="14" t="str">
        <f>IFERROR(INDEX(Teams!$B$2:$B$49,MATCH($I40,Teams!$A$2:$A$49,0)),"")</f>
        <v>IR Iran</v>
      </c>
      <c r="K40" s="14">
        <v>0</v>
      </c>
      <c r="L40" s="14">
        <v>0</v>
      </c>
      <c r="M40" s="14"/>
      <c r="N40" s="14" t="str">
        <f>IFERROR(INDEX(Teams!$B$2:$B$49,MATCH($M40,Teams!$A$2:$A$49,0)),"Draw")</f>
        <v>Draw</v>
      </c>
      <c r="O40" s="14" t="s">
        <v>20</v>
      </c>
      <c r="P40" s="14">
        <v>0</v>
      </c>
      <c r="Q40" s="14">
        <v>0</v>
      </c>
    </row>
    <row r="41" spans="1:17" x14ac:dyDescent="0.3">
      <c r="A41" s="14">
        <v>40</v>
      </c>
      <c r="B41" s="14" t="s">
        <v>196</v>
      </c>
      <c r="C41" s="14" t="s">
        <v>34</v>
      </c>
      <c r="D41" s="14" t="s">
        <v>69</v>
      </c>
      <c r="E41" s="14">
        <v>2</v>
      </c>
      <c r="F41" s="14" t="str">
        <f>IFERROR(INDEX(Stadiums!$B$2:$B$17,MATCH($E41,Stadiums!$A$2:$A$17,0)),"")</f>
        <v>BC Place Vancouver</v>
      </c>
      <c r="G41" s="14">
        <v>42</v>
      </c>
      <c r="H41" s="14" t="str">
        <f>IFERROR(INDEX(Teams!$B$2:$B$49,MATCH($G41,Teams!$A$2:$A$49,0)),"")</f>
        <v>New Zealand</v>
      </c>
      <c r="I41" s="14">
        <v>19</v>
      </c>
      <c r="J41" s="14" t="str">
        <f>IFERROR(INDEX(Teams!$B$2:$B$49,MATCH($I41,Teams!$A$2:$A$49,0)),"")</f>
        <v>Egypt</v>
      </c>
      <c r="K41" s="14">
        <v>1</v>
      </c>
      <c r="L41" s="14">
        <v>3</v>
      </c>
      <c r="M41" s="14">
        <v>19</v>
      </c>
      <c r="N41" s="14" t="str">
        <f>IFERROR(INDEX(Teams!$B$2:$B$49,MATCH($M41,Teams!$A$2:$A$49,0)),"Draw")</f>
        <v>Egypt</v>
      </c>
      <c r="O41" s="14" t="s">
        <v>21</v>
      </c>
      <c r="P41" s="14">
        <v>4</v>
      </c>
      <c r="Q41" s="14">
        <v>2</v>
      </c>
    </row>
    <row r="42" spans="1:17" x14ac:dyDescent="0.3">
      <c r="A42" s="14">
        <v>41</v>
      </c>
      <c r="B42" s="14" t="s">
        <v>197</v>
      </c>
      <c r="C42" s="14" t="s">
        <v>34</v>
      </c>
      <c r="D42" s="14" t="s">
        <v>81</v>
      </c>
      <c r="E42" s="14">
        <v>13</v>
      </c>
      <c r="F42" s="14" t="str">
        <f>IFERROR(INDEX(Stadiums!$B$2:$B$17,MATCH($E42,Stadiums!$A$2:$A$17,0)),"")</f>
        <v>New York New Jersey Stadium</v>
      </c>
      <c r="G42" s="14">
        <v>22</v>
      </c>
      <c r="H42" s="14" t="str">
        <f>IFERROR(INDEX(Teams!$B$2:$B$49,MATCH($G42,Teams!$A$2:$A$49,0)),"")</f>
        <v>Norway</v>
      </c>
      <c r="I42" s="14">
        <v>34</v>
      </c>
      <c r="J42" s="14" t="str">
        <f>IFERROR(INDEX(Teams!$B$2:$B$49,MATCH($I42,Teams!$A$2:$A$49,0)),"")</f>
        <v>Senegal</v>
      </c>
      <c r="K42" s="14">
        <v>3</v>
      </c>
      <c r="L42" s="14">
        <v>2</v>
      </c>
      <c r="M42" s="14">
        <v>22</v>
      </c>
      <c r="N42" s="14" t="str">
        <f>IFERROR(INDEX(Teams!$B$2:$B$49,MATCH($M42,Teams!$A$2:$A$49,0)),"Draw")</f>
        <v>Norway</v>
      </c>
      <c r="O42" s="14" t="s">
        <v>19</v>
      </c>
      <c r="P42" s="14">
        <v>5</v>
      </c>
      <c r="Q42" s="14">
        <v>1</v>
      </c>
    </row>
    <row r="43" spans="1:17" x14ac:dyDescent="0.3">
      <c r="A43" s="14">
        <v>42</v>
      </c>
      <c r="B43" s="14" t="s">
        <v>197</v>
      </c>
      <c r="C43" s="14" t="s">
        <v>34</v>
      </c>
      <c r="D43" s="14" t="s">
        <v>81</v>
      </c>
      <c r="E43" s="14">
        <v>14</v>
      </c>
      <c r="F43" s="14" t="str">
        <f>IFERROR(INDEX(Stadiums!$B$2:$B$17,MATCH($E43,Stadiums!$A$2:$A$17,0)),"")</f>
        <v>Philadelphia Stadium</v>
      </c>
      <c r="G43" s="14">
        <v>6</v>
      </c>
      <c r="H43" s="14" t="str">
        <f>IFERROR(INDEX(Teams!$B$2:$B$49,MATCH($G43,Teams!$A$2:$A$49,0)),"")</f>
        <v>France</v>
      </c>
      <c r="I43" s="14">
        <v>40</v>
      </c>
      <c r="J43" s="14" t="str">
        <f>IFERROR(INDEX(Teams!$B$2:$B$49,MATCH($I43,Teams!$A$2:$A$49,0)),"")</f>
        <v>Iraq</v>
      </c>
      <c r="K43" s="14">
        <v>3</v>
      </c>
      <c r="L43" s="14">
        <v>0</v>
      </c>
      <c r="M43" s="14">
        <v>6</v>
      </c>
      <c r="N43" s="14" t="str">
        <f>IFERROR(INDEX(Teams!$B$2:$B$49,MATCH($M43,Teams!$A$2:$A$49,0)),"Draw")</f>
        <v>France</v>
      </c>
      <c r="O43" s="14" t="s">
        <v>19</v>
      </c>
      <c r="P43" s="14">
        <v>3</v>
      </c>
      <c r="Q43" s="14">
        <v>3</v>
      </c>
    </row>
    <row r="44" spans="1:17" x14ac:dyDescent="0.3">
      <c r="A44" s="14">
        <v>43</v>
      </c>
      <c r="B44" s="14" t="s">
        <v>197</v>
      </c>
      <c r="C44" s="14" t="s">
        <v>34</v>
      </c>
      <c r="D44" s="14" t="s">
        <v>66</v>
      </c>
      <c r="E44" s="14">
        <v>8</v>
      </c>
      <c r="F44" s="14" t="str">
        <f>IFERROR(INDEX(Stadiums!$B$2:$B$17,MATCH($E44,Stadiums!$A$2:$A$17,0)),"")</f>
        <v>Dallas Stadium</v>
      </c>
      <c r="G44" s="14">
        <v>1</v>
      </c>
      <c r="H44" s="14" t="str">
        <f>IFERROR(INDEX(Teams!$B$2:$B$49,MATCH($G44,Teams!$A$2:$A$49,0)),"")</f>
        <v>Argentina</v>
      </c>
      <c r="I44" s="14">
        <v>14</v>
      </c>
      <c r="J44" s="14" t="str">
        <f>IFERROR(INDEX(Teams!$B$2:$B$49,MATCH($I44,Teams!$A$2:$A$49,0)),"")</f>
        <v>Austria</v>
      </c>
      <c r="K44" s="14">
        <v>2</v>
      </c>
      <c r="L44" s="14">
        <v>0</v>
      </c>
      <c r="M44" s="14">
        <v>1</v>
      </c>
      <c r="N44" s="14" t="str">
        <f>IFERROR(INDEX(Teams!$B$2:$B$49,MATCH($M44,Teams!$A$2:$A$49,0)),"Draw")</f>
        <v>Argentina</v>
      </c>
      <c r="O44" s="14" t="s">
        <v>19</v>
      </c>
      <c r="P44" s="14">
        <v>2</v>
      </c>
      <c r="Q44" s="14">
        <v>2</v>
      </c>
    </row>
    <row r="45" spans="1:17" x14ac:dyDescent="0.3">
      <c r="A45" s="14">
        <v>44</v>
      </c>
      <c r="B45" s="14" t="s">
        <v>197</v>
      </c>
      <c r="C45" s="14" t="s">
        <v>34</v>
      </c>
      <c r="D45" s="14" t="s">
        <v>66</v>
      </c>
      <c r="E45" s="14">
        <v>15</v>
      </c>
      <c r="F45" s="14" t="str">
        <f>IFERROR(INDEX(Stadiums!$B$2:$B$17,MATCH($E45,Stadiums!$A$2:$A$17,0)),"")</f>
        <v>San Francisco Bay Area Stadium</v>
      </c>
      <c r="G45" s="14">
        <v>41</v>
      </c>
      <c r="H45" s="14" t="str">
        <f>IFERROR(INDEX(Teams!$B$2:$B$49,MATCH($G45,Teams!$A$2:$A$49,0)),"")</f>
        <v>Jordan</v>
      </c>
      <c r="I45" s="14">
        <v>25</v>
      </c>
      <c r="J45" s="14" t="str">
        <f>IFERROR(INDEX(Teams!$B$2:$B$49,MATCH($I45,Teams!$A$2:$A$49,0)),"")</f>
        <v>Algeria</v>
      </c>
      <c r="K45" s="14">
        <v>1</v>
      </c>
      <c r="L45" s="14">
        <v>2</v>
      </c>
      <c r="M45" s="14">
        <v>25</v>
      </c>
      <c r="N45" s="14" t="str">
        <f>IFERROR(INDEX(Teams!$B$2:$B$49,MATCH($M45,Teams!$A$2:$A$49,0)),"Draw")</f>
        <v>Algeria</v>
      </c>
      <c r="O45" s="14" t="s">
        <v>21</v>
      </c>
      <c r="P45" s="14">
        <v>3</v>
      </c>
      <c r="Q45" s="14">
        <v>1</v>
      </c>
    </row>
    <row r="46" spans="1:17" x14ac:dyDescent="0.3">
      <c r="A46" s="14">
        <v>45</v>
      </c>
      <c r="B46" s="14" t="s">
        <v>198</v>
      </c>
      <c r="C46" s="14" t="s">
        <v>34</v>
      </c>
      <c r="D46" s="14" t="s">
        <v>78</v>
      </c>
      <c r="E46" s="14">
        <v>7</v>
      </c>
      <c r="F46" s="14" t="str">
        <f>IFERROR(INDEX(Stadiums!$B$2:$B$17,MATCH($E46,Stadiums!$A$2:$A$17,0)),"")</f>
        <v>Boston Stadium</v>
      </c>
      <c r="G46" s="14">
        <v>5</v>
      </c>
      <c r="H46" s="14" t="str">
        <f>IFERROR(INDEX(Teams!$B$2:$B$49,MATCH($G46,Teams!$A$2:$A$49,0)),"")</f>
        <v>England</v>
      </c>
      <c r="I46" s="14">
        <v>29</v>
      </c>
      <c r="J46" s="14" t="str">
        <f>IFERROR(INDEX(Teams!$B$2:$B$49,MATCH($I46,Teams!$A$2:$A$49,0)),"")</f>
        <v>Ghana</v>
      </c>
      <c r="K46" s="14">
        <v>0</v>
      </c>
      <c r="L46" s="14">
        <v>0</v>
      </c>
      <c r="M46" s="14"/>
      <c r="N46" s="14" t="str">
        <f>IFERROR(INDEX(Teams!$B$2:$B$49,MATCH($M46,Teams!$A$2:$A$49,0)),"Draw")</f>
        <v>Draw</v>
      </c>
      <c r="O46" s="14" t="s">
        <v>20</v>
      </c>
      <c r="P46" s="14">
        <v>0</v>
      </c>
      <c r="Q46" s="14">
        <v>0</v>
      </c>
    </row>
    <row r="47" spans="1:17" x14ac:dyDescent="0.3">
      <c r="A47" s="14">
        <v>46</v>
      </c>
      <c r="B47" s="14" t="s">
        <v>198</v>
      </c>
      <c r="C47" s="14" t="s">
        <v>34</v>
      </c>
      <c r="D47" s="14" t="s">
        <v>78</v>
      </c>
      <c r="E47" s="14">
        <v>1</v>
      </c>
      <c r="F47" s="14" t="str">
        <f>IFERROR(INDEX(Stadiums!$B$2:$B$17,MATCH($E47,Stadiums!$A$2:$A$17,0)),"")</f>
        <v>Toronto Stadium</v>
      </c>
      <c r="G47" s="14">
        <v>43</v>
      </c>
      <c r="H47" s="14" t="str">
        <f>IFERROR(INDEX(Teams!$B$2:$B$49,MATCH($G47,Teams!$A$2:$A$49,0)),"")</f>
        <v>Panama</v>
      </c>
      <c r="I47" s="14">
        <v>18</v>
      </c>
      <c r="J47" s="14" t="str">
        <f>IFERROR(INDEX(Teams!$B$2:$B$49,MATCH($I47,Teams!$A$2:$A$49,0)),"")</f>
        <v>Croatia</v>
      </c>
      <c r="K47" s="14">
        <v>0</v>
      </c>
      <c r="L47" s="14">
        <v>1</v>
      </c>
      <c r="M47" s="14">
        <v>18</v>
      </c>
      <c r="N47" s="14" t="str">
        <f>IFERROR(INDEX(Teams!$B$2:$B$49,MATCH($M47,Teams!$A$2:$A$49,0)),"Draw")</f>
        <v>Croatia</v>
      </c>
      <c r="O47" s="14" t="s">
        <v>21</v>
      </c>
      <c r="P47" s="14">
        <v>1</v>
      </c>
      <c r="Q47" s="14">
        <v>1</v>
      </c>
    </row>
    <row r="48" spans="1:17" x14ac:dyDescent="0.3">
      <c r="A48" s="14">
        <v>47</v>
      </c>
      <c r="B48" s="14" t="s">
        <v>198</v>
      </c>
      <c r="C48" s="14" t="s">
        <v>34</v>
      </c>
      <c r="D48" s="14" t="s">
        <v>75</v>
      </c>
      <c r="E48" s="14">
        <v>9</v>
      </c>
      <c r="F48" s="14" t="str">
        <f>IFERROR(INDEX(Stadiums!$B$2:$B$17,MATCH($E48,Stadiums!$A$2:$A$17,0)),"")</f>
        <v>Houston Stadium</v>
      </c>
      <c r="G48" s="14">
        <v>23</v>
      </c>
      <c r="H48" s="14" t="str">
        <f>IFERROR(INDEX(Teams!$B$2:$B$49,MATCH($G48,Teams!$A$2:$A$49,0)),"")</f>
        <v>Portugal</v>
      </c>
      <c r="I48" s="14">
        <v>48</v>
      </c>
      <c r="J48" s="14" t="str">
        <f>IFERROR(INDEX(Teams!$B$2:$B$49,MATCH($I48,Teams!$A$2:$A$49,0)),"")</f>
        <v>Uzbekistan</v>
      </c>
      <c r="K48" s="14">
        <v>5</v>
      </c>
      <c r="L48" s="14">
        <v>0</v>
      </c>
      <c r="M48" s="14">
        <v>23</v>
      </c>
      <c r="N48" s="14" t="str">
        <f>IFERROR(INDEX(Teams!$B$2:$B$49,MATCH($M48,Teams!$A$2:$A$49,0)),"Draw")</f>
        <v>Portugal</v>
      </c>
      <c r="O48" s="14" t="s">
        <v>19</v>
      </c>
      <c r="P48" s="14">
        <v>5</v>
      </c>
      <c r="Q48" s="14">
        <v>5</v>
      </c>
    </row>
    <row r="49" spans="1:17" x14ac:dyDescent="0.3">
      <c r="A49" s="14">
        <v>48</v>
      </c>
      <c r="B49" s="14" t="s">
        <v>198</v>
      </c>
      <c r="C49" s="14" t="s">
        <v>34</v>
      </c>
      <c r="D49" s="14" t="s">
        <v>75</v>
      </c>
      <c r="E49" s="14">
        <v>4</v>
      </c>
      <c r="F49" s="14" t="str">
        <f>IFERROR(INDEX(Stadiums!$B$2:$B$17,MATCH($E49,Stadiums!$A$2:$A$17,0)),"")</f>
        <v>Guadalajara Stadium</v>
      </c>
      <c r="G49" s="14">
        <v>4</v>
      </c>
      <c r="H49" s="14" t="str">
        <f>IFERROR(INDEX(Teams!$B$2:$B$49,MATCH($G49,Teams!$A$2:$A$49,0)),"")</f>
        <v>Colombia</v>
      </c>
      <c r="I49" s="14">
        <v>27</v>
      </c>
      <c r="J49" s="14" t="str">
        <f>IFERROR(INDEX(Teams!$B$2:$B$49,MATCH($I49,Teams!$A$2:$A$49,0)),"")</f>
        <v>Congo DR</v>
      </c>
      <c r="K49" s="14">
        <v>1</v>
      </c>
      <c r="L49" s="14">
        <v>0</v>
      </c>
      <c r="M49" s="14">
        <v>4</v>
      </c>
      <c r="N49" s="14" t="str">
        <f>IFERROR(INDEX(Teams!$B$2:$B$49,MATCH($M49,Teams!$A$2:$A$49,0)),"Draw")</f>
        <v>Colombia</v>
      </c>
      <c r="O49" s="14" t="s">
        <v>19</v>
      </c>
      <c r="P49" s="14">
        <v>1</v>
      </c>
      <c r="Q49" s="14">
        <v>1</v>
      </c>
    </row>
    <row r="50" spans="1:17" x14ac:dyDescent="0.3">
      <c r="A50" s="14">
        <v>49</v>
      </c>
      <c r="B50" s="14" t="s">
        <v>199</v>
      </c>
      <c r="C50" s="14" t="s">
        <v>34</v>
      </c>
      <c r="D50" s="14" t="s">
        <v>72</v>
      </c>
      <c r="E50" s="14">
        <v>12</v>
      </c>
      <c r="F50" s="14" t="str">
        <f>IFERROR(INDEX(Stadiums!$B$2:$B$17,MATCH($E50,Stadiums!$A$2:$A$17,0)),"")</f>
        <v>Miami Stadium</v>
      </c>
      <c r="G50" s="14">
        <v>33</v>
      </c>
      <c r="H50" s="14" t="str">
        <f>IFERROR(INDEX(Teams!$B$2:$B$49,MATCH($G50,Teams!$A$2:$A$49,0)),"")</f>
        <v>Scotland</v>
      </c>
      <c r="I50" s="14">
        <v>3</v>
      </c>
      <c r="J50" s="14" t="str">
        <f>IFERROR(INDEX(Teams!$B$2:$B$49,MATCH($I50,Teams!$A$2:$A$49,0)),"")</f>
        <v>Brazil</v>
      </c>
      <c r="K50" s="14">
        <v>0</v>
      </c>
      <c r="L50" s="14">
        <v>3</v>
      </c>
      <c r="M50" s="14">
        <v>3</v>
      </c>
      <c r="N50" s="14" t="str">
        <f>IFERROR(INDEX(Teams!$B$2:$B$49,MATCH($M50,Teams!$A$2:$A$49,0)),"Draw")</f>
        <v>Brazil</v>
      </c>
      <c r="O50" s="14" t="s">
        <v>21</v>
      </c>
      <c r="P50" s="14">
        <v>3</v>
      </c>
      <c r="Q50" s="14">
        <v>3</v>
      </c>
    </row>
    <row r="51" spans="1:17" x14ac:dyDescent="0.3">
      <c r="A51" s="14">
        <v>50</v>
      </c>
      <c r="B51" s="14" t="s">
        <v>199</v>
      </c>
      <c r="C51" s="14" t="s">
        <v>34</v>
      </c>
      <c r="D51" s="14" t="s">
        <v>72</v>
      </c>
      <c r="E51" s="14">
        <v>6</v>
      </c>
      <c r="F51" s="14" t="str">
        <f>IFERROR(INDEX(Stadiums!$B$2:$B$17,MATCH($E51,Stadiums!$A$2:$A$17,0)),"")</f>
        <v>Atlanta Stadium</v>
      </c>
      <c r="G51" s="14">
        <v>21</v>
      </c>
      <c r="H51" s="14" t="str">
        <f>IFERROR(INDEX(Teams!$B$2:$B$49,MATCH($G51,Teams!$A$2:$A$49,0)),"")</f>
        <v>Morocco</v>
      </c>
      <c r="I51" s="14">
        <v>39</v>
      </c>
      <c r="J51" s="14" t="str">
        <f>IFERROR(INDEX(Teams!$B$2:$B$49,MATCH($I51,Teams!$A$2:$A$49,0)),"")</f>
        <v>Haiti</v>
      </c>
      <c r="K51" s="14">
        <v>4</v>
      </c>
      <c r="L51" s="14">
        <v>2</v>
      </c>
      <c r="M51" s="14">
        <v>21</v>
      </c>
      <c r="N51" s="14" t="str">
        <f>IFERROR(INDEX(Teams!$B$2:$B$49,MATCH($M51,Teams!$A$2:$A$49,0)),"Draw")</f>
        <v>Morocco</v>
      </c>
      <c r="O51" s="14" t="s">
        <v>19</v>
      </c>
      <c r="P51" s="14">
        <v>6</v>
      </c>
      <c r="Q51" s="14">
        <v>2</v>
      </c>
    </row>
    <row r="52" spans="1:17" x14ac:dyDescent="0.3">
      <c r="A52" s="14">
        <v>51</v>
      </c>
      <c r="B52" s="14" t="s">
        <v>199</v>
      </c>
      <c r="C52" s="14" t="s">
        <v>34</v>
      </c>
      <c r="D52" s="14" t="s">
        <v>96</v>
      </c>
      <c r="E52" s="14">
        <v>2</v>
      </c>
      <c r="F52" s="14" t="str">
        <f>IFERROR(INDEX(Stadiums!$B$2:$B$17,MATCH($E52,Stadiums!$A$2:$A$17,0)),"")</f>
        <v>BC Place Vancouver</v>
      </c>
      <c r="G52" s="14">
        <v>11</v>
      </c>
      <c r="H52" s="14" t="str">
        <f>IFERROR(INDEX(Teams!$B$2:$B$49,MATCH($G52,Teams!$A$2:$A$49,0)),"")</f>
        <v>Switzerland</v>
      </c>
      <c r="I52" s="14">
        <v>16</v>
      </c>
      <c r="J52" s="14" t="str">
        <f>IFERROR(INDEX(Teams!$B$2:$B$49,MATCH($I52,Teams!$A$2:$A$49,0)),"")</f>
        <v>Canada</v>
      </c>
      <c r="K52" s="14">
        <v>2</v>
      </c>
      <c r="L52" s="14">
        <v>1</v>
      </c>
      <c r="M52" s="14">
        <v>11</v>
      </c>
      <c r="N52" s="14" t="str">
        <f>IFERROR(INDEX(Teams!$B$2:$B$49,MATCH($M52,Teams!$A$2:$A$49,0)),"Draw")</f>
        <v>Switzerland</v>
      </c>
      <c r="O52" s="14" t="s">
        <v>19</v>
      </c>
      <c r="P52" s="14">
        <v>3</v>
      </c>
      <c r="Q52" s="14">
        <v>1</v>
      </c>
    </row>
    <row r="53" spans="1:17" x14ac:dyDescent="0.3">
      <c r="A53" s="14">
        <v>52</v>
      </c>
      <c r="B53" s="14" t="s">
        <v>199</v>
      </c>
      <c r="C53" s="14" t="s">
        <v>34</v>
      </c>
      <c r="D53" s="14" t="s">
        <v>96</v>
      </c>
      <c r="E53" s="14">
        <v>16</v>
      </c>
      <c r="F53" s="14" t="str">
        <f>IFERROR(INDEX(Stadiums!$B$2:$B$17,MATCH($E53,Stadiums!$A$2:$A$17,0)),"")</f>
        <v>Seattle Stadium</v>
      </c>
      <c r="G53" s="14">
        <v>26</v>
      </c>
      <c r="H53" s="14" t="str">
        <f>IFERROR(INDEX(Teams!$B$2:$B$49,MATCH($G53,Teams!$A$2:$A$49,0)),"")</f>
        <v>Bosnia and Herzegovina</v>
      </c>
      <c r="I53" s="14">
        <v>44</v>
      </c>
      <c r="J53" s="14" t="str">
        <f>IFERROR(INDEX(Teams!$B$2:$B$49,MATCH($I53,Teams!$A$2:$A$49,0)),"")</f>
        <v>Qatar</v>
      </c>
      <c r="K53" s="14">
        <v>3</v>
      </c>
      <c r="L53" s="14">
        <v>1</v>
      </c>
      <c r="M53" s="14">
        <v>26</v>
      </c>
      <c r="N53" s="14" t="str">
        <f>IFERROR(INDEX(Teams!$B$2:$B$49,MATCH($M53,Teams!$A$2:$A$49,0)),"Draw")</f>
        <v>Bosnia and Herzegovina</v>
      </c>
      <c r="O53" s="14" t="s">
        <v>19</v>
      </c>
      <c r="P53" s="14">
        <v>4</v>
      </c>
      <c r="Q53" s="14">
        <v>2</v>
      </c>
    </row>
    <row r="54" spans="1:17" x14ac:dyDescent="0.3">
      <c r="A54" s="14">
        <v>53</v>
      </c>
      <c r="B54" s="14" t="s">
        <v>199</v>
      </c>
      <c r="C54" s="14" t="s">
        <v>34</v>
      </c>
      <c r="D54" s="14" t="s">
        <v>87</v>
      </c>
      <c r="E54" s="14">
        <v>3</v>
      </c>
      <c r="F54" s="14" t="str">
        <f>IFERROR(INDEX(Stadiums!$B$2:$B$17,MATCH($E54,Stadiums!$A$2:$A$17,0)),"")</f>
        <v>Mexico City Stadium</v>
      </c>
      <c r="G54" s="14">
        <v>38</v>
      </c>
      <c r="H54" s="14" t="str">
        <f>IFERROR(INDEX(Teams!$B$2:$B$49,MATCH($G54,Teams!$A$2:$A$49,0)),"")</f>
        <v>Czechia</v>
      </c>
      <c r="I54" s="14">
        <v>8</v>
      </c>
      <c r="J54" s="14" t="str">
        <f>IFERROR(INDEX(Teams!$B$2:$B$49,MATCH($I54,Teams!$A$2:$A$49,0)),"")</f>
        <v>Mexico</v>
      </c>
      <c r="K54" s="14">
        <v>0</v>
      </c>
      <c r="L54" s="14">
        <v>3</v>
      </c>
      <c r="M54" s="14">
        <v>8</v>
      </c>
      <c r="N54" s="14" t="str">
        <f>IFERROR(INDEX(Teams!$B$2:$B$49,MATCH($M54,Teams!$A$2:$A$49,0)),"Draw")</f>
        <v>Mexico</v>
      </c>
      <c r="O54" s="14" t="s">
        <v>21</v>
      </c>
      <c r="P54" s="14">
        <v>3</v>
      </c>
      <c r="Q54" s="14">
        <v>3</v>
      </c>
    </row>
    <row r="55" spans="1:17" x14ac:dyDescent="0.3">
      <c r="A55" s="14">
        <v>54</v>
      </c>
      <c r="B55" s="14" t="s">
        <v>199</v>
      </c>
      <c r="C55" s="14" t="s">
        <v>34</v>
      </c>
      <c r="D55" s="14" t="s">
        <v>87</v>
      </c>
      <c r="E55" s="14">
        <v>5</v>
      </c>
      <c r="F55" s="14" t="str">
        <f>IFERROR(INDEX(Stadiums!$B$2:$B$17,MATCH($E55,Stadiums!$A$2:$A$17,0)),"")</f>
        <v>Estadio Monterrey</v>
      </c>
      <c r="G55" s="14">
        <v>24</v>
      </c>
      <c r="H55" s="14" t="str">
        <f>IFERROR(INDEX(Teams!$B$2:$B$49,MATCH($G55,Teams!$A$2:$A$49,0)),"")</f>
        <v>South Africa</v>
      </c>
      <c r="I55" s="14">
        <v>31</v>
      </c>
      <c r="J55" s="14" t="str">
        <f>IFERROR(INDEX(Teams!$B$2:$B$49,MATCH($I55,Teams!$A$2:$A$49,0)),"")</f>
        <v>Korea Republic</v>
      </c>
      <c r="K55" s="14">
        <v>1</v>
      </c>
      <c r="L55" s="14">
        <v>0</v>
      </c>
      <c r="M55" s="14">
        <v>24</v>
      </c>
      <c r="N55" s="14" t="str">
        <f>IFERROR(INDEX(Teams!$B$2:$B$49,MATCH($M55,Teams!$A$2:$A$49,0)),"Draw")</f>
        <v>South Africa</v>
      </c>
      <c r="O55" s="14" t="s">
        <v>19</v>
      </c>
      <c r="P55" s="14">
        <v>1</v>
      </c>
      <c r="Q55" s="14">
        <v>1</v>
      </c>
    </row>
    <row r="56" spans="1:17" x14ac:dyDescent="0.3">
      <c r="A56" s="14">
        <v>55</v>
      </c>
      <c r="B56" s="14" t="s">
        <v>200</v>
      </c>
      <c r="C56" s="14" t="s">
        <v>34</v>
      </c>
      <c r="D56" s="14" t="s">
        <v>84</v>
      </c>
      <c r="E56" s="14">
        <v>14</v>
      </c>
      <c r="F56" s="14" t="str">
        <f>IFERROR(INDEX(Stadiums!$B$2:$B$17,MATCH($E56,Stadiums!$A$2:$A$17,0)),"")</f>
        <v>Philadelphia Stadium</v>
      </c>
      <c r="G56" s="14">
        <v>37</v>
      </c>
      <c r="H56" s="14" t="str">
        <f>IFERROR(INDEX(Teams!$B$2:$B$49,MATCH($G56,Teams!$A$2:$A$49,0)),"")</f>
        <v>Curaçao</v>
      </c>
      <c r="I56" s="14">
        <v>17</v>
      </c>
      <c r="J56" s="14" t="str">
        <f>IFERROR(INDEX(Teams!$B$2:$B$49,MATCH($I56,Teams!$A$2:$A$49,0)),"")</f>
        <v>Côte d'Ivoire</v>
      </c>
      <c r="K56" s="14">
        <v>0</v>
      </c>
      <c r="L56" s="14">
        <v>2</v>
      </c>
      <c r="M56" s="14">
        <v>17</v>
      </c>
      <c r="N56" s="14" t="str">
        <f>IFERROR(INDEX(Teams!$B$2:$B$49,MATCH($M56,Teams!$A$2:$A$49,0)),"Draw")</f>
        <v>Côte d'Ivoire</v>
      </c>
      <c r="O56" s="14" t="s">
        <v>21</v>
      </c>
      <c r="P56" s="14">
        <v>2</v>
      </c>
      <c r="Q56" s="14">
        <v>2</v>
      </c>
    </row>
    <row r="57" spans="1:17" x14ac:dyDescent="0.3">
      <c r="A57" s="14">
        <v>56</v>
      </c>
      <c r="B57" s="14" t="s">
        <v>200</v>
      </c>
      <c r="C57" s="14" t="s">
        <v>34</v>
      </c>
      <c r="D57" s="14" t="s">
        <v>84</v>
      </c>
      <c r="E57" s="14">
        <v>13</v>
      </c>
      <c r="F57" s="14" t="str">
        <f>IFERROR(INDEX(Stadiums!$B$2:$B$17,MATCH($E57,Stadiums!$A$2:$A$17,0)),"")</f>
        <v>New York New Jersey Stadium</v>
      </c>
      <c r="G57" s="14">
        <v>28</v>
      </c>
      <c r="H57" s="14" t="str">
        <f>IFERROR(INDEX(Teams!$B$2:$B$49,MATCH($G57,Teams!$A$2:$A$49,0)),"")</f>
        <v>Ecuador</v>
      </c>
      <c r="I57" s="14">
        <v>7</v>
      </c>
      <c r="J57" s="14" t="str">
        <f>IFERROR(INDEX(Teams!$B$2:$B$49,MATCH($I57,Teams!$A$2:$A$49,0)),"")</f>
        <v>Germany</v>
      </c>
      <c r="K57" s="14">
        <v>2</v>
      </c>
      <c r="L57" s="14">
        <v>1</v>
      </c>
      <c r="M57" s="14">
        <v>28</v>
      </c>
      <c r="N57" s="14" t="str">
        <f>IFERROR(INDEX(Teams!$B$2:$B$49,MATCH($M57,Teams!$A$2:$A$49,0)),"Draw")</f>
        <v>Ecuador</v>
      </c>
      <c r="O57" s="14" t="s">
        <v>19</v>
      </c>
      <c r="P57" s="14">
        <v>3</v>
      </c>
      <c r="Q57" s="14">
        <v>1</v>
      </c>
    </row>
    <row r="58" spans="1:17" x14ac:dyDescent="0.3">
      <c r="A58" s="14">
        <v>57</v>
      </c>
      <c r="B58" s="14" t="s">
        <v>200</v>
      </c>
      <c r="C58" s="14" t="s">
        <v>34</v>
      </c>
      <c r="D58" s="14" t="s">
        <v>90</v>
      </c>
      <c r="E58" s="14">
        <v>8</v>
      </c>
      <c r="F58" s="14" t="str">
        <f>IFERROR(INDEX(Stadiums!$B$2:$B$17,MATCH($E58,Stadiums!$A$2:$A$17,0)),"")</f>
        <v>Dallas Stadium</v>
      </c>
      <c r="G58" s="14">
        <v>20</v>
      </c>
      <c r="H58" s="14" t="str">
        <f>IFERROR(INDEX(Teams!$B$2:$B$49,MATCH($G58,Teams!$A$2:$A$49,0)),"")</f>
        <v>Japan</v>
      </c>
      <c r="I58" s="14">
        <v>35</v>
      </c>
      <c r="J58" s="14" t="str">
        <f>IFERROR(INDEX(Teams!$B$2:$B$49,MATCH($I58,Teams!$A$2:$A$49,0)),"")</f>
        <v>Sweden</v>
      </c>
      <c r="K58" s="14">
        <v>1</v>
      </c>
      <c r="L58" s="14">
        <v>1</v>
      </c>
      <c r="M58" s="14"/>
      <c r="N58" s="14" t="str">
        <f>IFERROR(INDEX(Teams!$B$2:$B$49,MATCH($M58,Teams!$A$2:$A$49,0)),"Draw")</f>
        <v>Draw</v>
      </c>
      <c r="O58" s="14" t="s">
        <v>20</v>
      </c>
      <c r="P58" s="14">
        <v>2</v>
      </c>
      <c r="Q58" s="14">
        <v>0</v>
      </c>
    </row>
    <row r="59" spans="1:17" x14ac:dyDescent="0.3">
      <c r="A59" s="14">
        <v>58</v>
      </c>
      <c r="B59" s="14" t="s">
        <v>200</v>
      </c>
      <c r="C59" s="14" t="s">
        <v>34</v>
      </c>
      <c r="D59" s="14" t="s">
        <v>90</v>
      </c>
      <c r="E59" s="14">
        <v>10</v>
      </c>
      <c r="F59" s="14" t="str">
        <f>IFERROR(INDEX(Stadiums!$B$2:$B$17,MATCH($E59,Stadiums!$A$2:$A$17,0)),"")</f>
        <v>Kansas City Stadium</v>
      </c>
      <c r="G59" s="14">
        <v>46</v>
      </c>
      <c r="H59" s="14" t="str">
        <f>IFERROR(INDEX(Teams!$B$2:$B$49,MATCH($G59,Teams!$A$2:$A$49,0)),"")</f>
        <v>Tunisia</v>
      </c>
      <c r="I59" s="14">
        <v>9</v>
      </c>
      <c r="J59" s="14" t="str">
        <f>IFERROR(INDEX(Teams!$B$2:$B$49,MATCH($I59,Teams!$A$2:$A$49,0)),"")</f>
        <v>Netherlands</v>
      </c>
      <c r="K59" s="14">
        <v>1</v>
      </c>
      <c r="L59" s="14">
        <v>3</v>
      </c>
      <c r="M59" s="14">
        <v>9</v>
      </c>
      <c r="N59" s="14" t="str">
        <f>IFERROR(INDEX(Teams!$B$2:$B$49,MATCH($M59,Teams!$A$2:$A$49,0)),"Draw")</f>
        <v>Netherlands</v>
      </c>
      <c r="O59" s="14" t="s">
        <v>21</v>
      </c>
      <c r="P59" s="14">
        <v>4</v>
      </c>
      <c r="Q59" s="14">
        <v>2</v>
      </c>
    </row>
    <row r="60" spans="1:17" x14ac:dyDescent="0.3">
      <c r="A60" s="14">
        <v>59</v>
      </c>
      <c r="B60" s="14" t="s">
        <v>200</v>
      </c>
      <c r="C60" s="14" t="s">
        <v>34</v>
      </c>
      <c r="D60" s="14" t="s">
        <v>98</v>
      </c>
      <c r="E60" s="14">
        <v>11</v>
      </c>
      <c r="F60" s="14" t="str">
        <f>IFERROR(INDEX(Stadiums!$B$2:$B$17,MATCH($E60,Stadiums!$A$2:$A$17,0)),"")</f>
        <v>Los Angeles Stadium</v>
      </c>
      <c r="G60" s="14">
        <v>47</v>
      </c>
      <c r="H60" s="14" t="str">
        <f>IFERROR(INDEX(Teams!$B$2:$B$49,MATCH($G60,Teams!$A$2:$A$49,0)),"")</f>
        <v>Türkiye</v>
      </c>
      <c r="I60" s="14">
        <v>12</v>
      </c>
      <c r="J60" s="14" t="str">
        <f>IFERROR(INDEX(Teams!$B$2:$B$49,MATCH($I60,Teams!$A$2:$A$49,0)),"")</f>
        <v>USA</v>
      </c>
      <c r="K60" s="14">
        <v>3</v>
      </c>
      <c r="L60" s="14">
        <v>2</v>
      </c>
      <c r="M60" s="14">
        <v>47</v>
      </c>
      <c r="N60" s="14" t="str">
        <f>IFERROR(INDEX(Teams!$B$2:$B$49,MATCH($M60,Teams!$A$2:$A$49,0)),"Draw")</f>
        <v>Türkiye</v>
      </c>
      <c r="O60" s="14" t="s">
        <v>19</v>
      </c>
      <c r="P60" s="14">
        <v>5</v>
      </c>
      <c r="Q60" s="14">
        <v>1</v>
      </c>
    </row>
    <row r="61" spans="1:17" x14ac:dyDescent="0.3">
      <c r="A61" s="14">
        <v>60</v>
      </c>
      <c r="B61" s="14" t="s">
        <v>200</v>
      </c>
      <c r="C61" s="14" t="s">
        <v>34</v>
      </c>
      <c r="D61" s="14" t="s">
        <v>98</v>
      </c>
      <c r="E61" s="14">
        <v>15</v>
      </c>
      <c r="F61" s="14" t="str">
        <f>IFERROR(INDEX(Stadiums!$B$2:$B$17,MATCH($E61,Stadiums!$A$2:$A$17,0)),"")</f>
        <v>San Francisco Bay Area Stadium</v>
      </c>
      <c r="G61" s="14">
        <v>32</v>
      </c>
      <c r="H61" s="14" t="str">
        <f>IFERROR(INDEX(Teams!$B$2:$B$49,MATCH($G61,Teams!$A$2:$A$49,0)),"")</f>
        <v>Paraguay</v>
      </c>
      <c r="I61" s="14">
        <v>13</v>
      </c>
      <c r="J61" s="14" t="str">
        <f>IFERROR(INDEX(Teams!$B$2:$B$49,MATCH($I61,Teams!$A$2:$A$49,0)),"")</f>
        <v>Australia</v>
      </c>
      <c r="K61" s="14">
        <v>0</v>
      </c>
      <c r="L61" s="14">
        <v>0</v>
      </c>
      <c r="M61" s="14"/>
      <c r="N61" s="14" t="str">
        <f>IFERROR(INDEX(Teams!$B$2:$B$49,MATCH($M61,Teams!$A$2:$A$49,0)),"Draw")</f>
        <v>Draw</v>
      </c>
      <c r="O61" s="14" t="s">
        <v>20</v>
      </c>
      <c r="P61" s="14">
        <v>0</v>
      </c>
      <c r="Q61" s="14">
        <v>0</v>
      </c>
    </row>
    <row r="62" spans="1:17" x14ac:dyDescent="0.3">
      <c r="A62" s="14">
        <v>61</v>
      </c>
      <c r="B62" s="14" t="s">
        <v>201</v>
      </c>
      <c r="C62" s="14" t="s">
        <v>34</v>
      </c>
      <c r="D62" s="14" t="s">
        <v>81</v>
      </c>
      <c r="E62" s="14">
        <v>7</v>
      </c>
      <c r="F62" s="14" t="str">
        <f>IFERROR(INDEX(Stadiums!$B$2:$B$17,MATCH($E62,Stadiums!$A$2:$A$17,0)),"")</f>
        <v>Boston Stadium</v>
      </c>
      <c r="G62" s="14">
        <v>22</v>
      </c>
      <c r="H62" s="14" t="str">
        <f>IFERROR(INDEX(Teams!$B$2:$B$49,MATCH($G62,Teams!$A$2:$A$49,0)),"")</f>
        <v>Norway</v>
      </c>
      <c r="I62" s="14">
        <v>6</v>
      </c>
      <c r="J62" s="14" t="str">
        <f>IFERROR(INDEX(Teams!$B$2:$B$49,MATCH($I62,Teams!$A$2:$A$49,0)),"")</f>
        <v>France</v>
      </c>
      <c r="K62" s="14">
        <v>1</v>
      </c>
      <c r="L62" s="14">
        <v>4</v>
      </c>
      <c r="M62" s="14">
        <v>6</v>
      </c>
      <c r="N62" s="14" t="str">
        <f>IFERROR(INDEX(Teams!$B$2:$B$49,MATCH($M62,Teams!$A$2:$A$49,0)),"Draw")</f>
        <v>France</v>
      </c>
      <c r="O62" s="14" t="s">
        <v>21</v>
      </c>
      <c r="P62" s="14">
        <v>5</v>
      </c>
      <c r="Q62" s="14">
        <v>3</v>
      </c>
    </row>
    <row r="63" spans="1:17" x14ac:dyDescent="0.3">
      <c r="A63" s="14">
        <v>62</v>
      </c>
      <c r="B63" s="14" t="s">
        <v>201</v>
      </c>
      <c r="C63" s="14" t="s">
        <v>34</v>
      </c>
      <c r="D63" s="14" t="s">
        <v>81</v>
      </c>
      <c r="E63" s="14">
        <v>1</v>
      </c>
      <c r="F63" s="14" t="str">
        <f>IFERROR(INDEX(Stadiums!$B$2:$B$17,MATCH($E63,Stadiums!$A$2:$A$17,0)),"")</f>
        <v>Toronto Stadium</v>
      </c>
      <c r="G63" s="14">
        <v>34</v>
      </c>
      <c r="H63" s="14" t="str">
        <f>IFERROR(INDEX(Teams!$B$2:$B$49,MATCH($G63,Teams!$A$2:$A$49,0)),"")</f>
        <v>Senegal</v>
      </c>
      <c r="I63" s="14">
        <v>40</v>
      </c>
      <c r="J63" s="14" t="str">
        <f>IFERROR(INDEX(Teams!$B$2:$B$49,MATCH($I63,Teams!$A$2:$A$49,0)),"")</f>
        <v>Iraq</v>
      </c>
      <c r="K63" s="14">
        <v>5</v>
      </c>
      <c r="L63" s="14">
        <v>0</v>
      </c>
      <c r="M63" s="14">
        <v>34</v>
      </c>
      <c r="N63" s="14" t="str">
        <f>IFERROR(INDEX(Teams!$B$2:$B$49,MATCH($M63,Teams!$A$2:$A$49,0)),"Draw")</f>
        <v>Senegal</v>
      </c>
      <c r="O63" s="14" t="s">
        <v>19</v>
      </c>
      <c r="P63" s="14">
        <v>5</v>
      </c>
      <c r="Q63" s="14">
        <v>5</v>
      </c>
    </row>
    <row r="64" spans="1:17" x14ac:dyDescent="0.3">
      <c r="A64" s="14">
        <v>63</v>
      </c>
      <c r="B64" s="14" t="s">
        <v>201</v>
      </c>
      <c r="C64" s="14" t="s">
        <v>34</v>
      </c>
      <c r="D64" s="14" t="s">
        <v>69</v>
      </c>
      <c r="E64" s="14">
        <v>16</v>
      </c>
      <c r="F64" s="14" t="str">
        <f>IFERROR(INDEX(Stadiums!$B$2:$B$17,MATCH($E64,Stadiums!$A$2:$A$17,0)),"")</f>
        <v>Seattle Stadium</v>
      </c>
      <c r="G64" s="14">
        <v>19</v>
      </c>
      <c r="H64" s="14" t="str">
        <f>IFERROR(INDEX(Teams!$B$2:$B$49,MATCH($G64,Teams!$A$2:$A$49,0)),"")</f>
        <v>Egypt</v>
      </c>
      <c r="I64" s="14">
        <v>30</v>
      </c>
      <c r="J64" s="14" t="str">
        <f>IFERROR(INDEX(Teams!$B$2:$B$49,MATCH($I64,Teams!$A$2:$A$49,0)),"")</f>
        <v>IR Iran</v>
      </c>
      <c r="K64" s="14">
        <v>1</v>
      </c>
      <c r="L64" s="14">
        <v>1</v>
      </c>
      <c r="M64" s="14"/>
      <c r="N64" s="14" t="str">
        <f>IFERROR(INDEX(Teams!$B$2:$B$49,MATCH($M64,Teams!$A$2:$A$49,0)),"Draw")</f>
        <v>Draw</v>
      </c>
      <c r="O64" s="14" t="s">
        <v>20</v>
      </c>
      <c r="P64" s="14">
        <v>2</v>
      </c>
      <c r="Q64" s="14">
        <v>0</v>
      </c>
    </row>
    <row r="65" spans="1:17" x14ac:dyDescent="0.3">
      <c r="A65" s="14">
        <v>64</v>
      </c>
      <c r="B65" s="14" t="s">
        <v>201</v>
      </c>
      <c r="C65" s="14" t="s">
        <v>34</v>
      </c>
      <c r="D65" s="14" t="s">
        <v>69</v>
      </c>
      <c r="E65" s="14">
        <v>2</v>
      </c>
      <c r="F65" s="14" t="str">
        <f>IFERROR(INDEX(Stadiums!$B$2:$B$17,MATCH($E65,Stadiums!$A$2:$A$17,0)),"")</f>
        <v>BC Place Vancouver</v>
      </c>
      <c r="G65" s="14">
        <v>42</v>
      </c>
      <c r="H65" s="14" t="str">
        <f>IFERROR(INDEX(Teams!$B$2:$B$49,MATCH($G65,Teams!$A$2:$A$49,0)),"")</f>
        <v>New Zealand</v>
      </c>
      <c r="I65" s="14">
        <v>2</v>
      </c>
      <c r="J65" s="14" t="str">
        <f>IFERROR(INDEX(Teams!$B$2:$B$49,MATCH($I65,Teams!$A$2:$A$49,0)),"")</f>
        <v>Belgium</v>
      </c>
      <c r="K65" s="14">
        <v>1</v>
      </c>
      <c r="L65" s="14">
        <v>5</v>
      </c>
      <c r="M65" s="14">
        <v>2</v>
      </c>
      <c r="N65" s="14" t="str">
        <f>IFERROR(INDEX(Teams!$B$2:$B$49,MATCH($M65,Teams!$A$2:$A$49,0)),"Draw")</f>
        <v>Belgium</v>
      </c>
      <c r="O65" s="14" t="s">
        <v>21</v>
      </c>
      <c r="P65" s="14">
        <v>6</v>
      </c>
      <c r="Q65" s="14">
        <v>4</v>
      </c>
    </row>
    <row r="66" spans="1:17" x14ac:dyDescent="0.3">
      <c r="A66" s="14">
        <v>65</v>
      </c>
      <c r="B66" s="14" t="s">
        <v>201</v>
      </c>
      <c r="C66" s="14" t="s">
        <v>34</v>
      </c>
      <c r="D66" s="14" t="s">
        <v>93</v>
      </c>
      <c r="E66" s="14">
        <v>9</v>
      </c>
      <c r="F66" s="14" t="str">
        <f>IFERROR(INDEX(Stadiums!$B$2:$B$17,MATCH($E66,Stadiums!$A$2:$A$17,0)),"")</f>
        <v>Houston Stadium</v>
      </c>
      <c r="G66" s="14">
        <v>15</v>
      </c>
      <c r="H66" s="14" t="str">
        <f>IFERROR(INDEX(Teams!$B$2:$B$49,MATCH($G66,Teams!$A$2:$A$49,0)),"")</f>
        <v>Cabo Verde</v>
      </c>
      <c r="I66" s="14">
        <v>45</v>
      </c>
      <c r="J66" s="14" t="str">
        <f>IFERROR(INDEX(Teams!$B$2:$B$49,MATCH($I66,Teams!$A$2:$A$49,0)),"")</f>
        <v>Saudi Arabia</v>
      </c>
      <c r="K66" s="14">
        <v>0</v>
      </c>
      <c r="L66" s="14">
        <v>0</v>
      </c>
      <c r="M66" s="14"/>
      <c r="N66" s="14" t="str">
        <f>IFERROR(INDEX(Teams!$B$2:$B$49,MATCH($M66,Teams!$A$2:$A$49,0)),"Draw")</f>
        <v>Draw</v>
      </c>
      <c r="O66" s="14" t="s">
        <v>20</v>
      </c>
      <c r="P66" s="14">
        <v>0</v>
      </c>
      <c r="Q66" s="14">
        <v>0</v>
      </c>
    </row>
    <row r="67" spans="1:17" x14ac:dyDescent="0.3">
      <c r="A67" s="14">
        <v>66</v>
      </c>
      <c r="B67" s="14" t="s">
        <v>201</v>
      </c>
      <c r="C67" s="14" t="s">
        <v>34</v>
      </c>
      <c r="D67" s="14" t="s">
        <v>93</v>
      </c>
      <c r="E67" s="14">
        <v>4</v>
      </c>
      <c r="F67" s="14" t="str">
        <f>IFERROR(INDEX(Stadiums!$B$2:$B$17,MATCH($E67,Stadiums!$A$2:$A$17,0)),"")</f>
        <v>Guadalajara Stadium</v>
      </c>
      <c r="G67" s="14">
        <v>36</v>
      </c>
      <c r="H67" s="14" t="str">
        <f>IFERROR(INDEX(Teams!$B$2:$B$49,MATCH($G67,Teams!$A$2:$A$49,0)),"")</f>
        <v>Uruguay</v>
      </c>
      <c r="I67" s="14">
        <v>10</v>
      </c>
      <c r="J67" s="14" t="str">
        <f>IFERROR(INDEX(Teams!$B$2:$B$49,MATCH($I67,Teams!$A$2:$A$49,0)),"")</f>
        <v>Spain</v>
      </c>
      <c r="K67" s="14">
        <v>0</v>
      </c>
      <c r="L67" s="14">
        <v>1</v>
      </c>
      <c r="M67" s="14">
        <v>10</v>
      </c>
      <c r="N67" s="14" t="str">
        <f>IFERROR(INDEX(Teams!$B$2:$B$49,MATCH($M67,Teams!$A$2:$A$49,0)),"Draw")</f>
        <v>Spain</v>
      </c>
      <c r="O67" s="14" t="s">
        <v>21</v>
      </c>
      <c r="P67" s="14">
        <v>1</v>
      </c>
      <c r="Q67" s="14">
        <v>1</v>
      </c>
    </row>
    <row r="68" spans="1:17" x14ac:dyDescent="0.3">
      <c r="A68" s="14">
        <v>67</v>
      </c>
      <c r="B68" s="14" t="s">
        <v>202</v>
      </c>
      <c r="C68" s="14" t="s">
        <v>34</v>
      </c>
      <c r="D68" s="14" t="s">
        <v>78</v>
      </c>
      <c r="E68" s="14">
        <v>13</v>
      </c>
      <c r="F68" s="14" t="str">
        <f>IFERROR(INDEX(Stadiums!$B$2:$B$17,MATCH($E68,Stadiums!$A$2:$A$17,0)),"")</f>
        <v>New York New Jersey Stadium</v>
      </c>
      <c r="G68" s="14">
        <v>43</v>
      </c>
      <c r="H68" s="14" t="str">
        <f>IFERROR(INDEX(Teams!$B$2:$B$49,MATCH($G68,Teams!$A$2:$A$49,0)),"")</f>
        <v>Panama</v>
      </c>
      <c r="I68" s="14">
        <v>5</v>
      </c>
      <c r="J68" s="14" t="str">
        <f>IFERROR(INDEX(Teams!$B$2:$B$49,MATCH($I68,Teams!$A$2:$A$49,0)),"")</f>
        <v>England</v>
      </c>
      <c r="K68" s="14">
        <v>0</v>
      </c>
      <c r="L68" s="14">
        <v>2</v>
      </c>
      <c r="M68" s="14">
        <v>5</v>
      </c>
      <c r="N68" s="14" t="str">
        <f>IFERROR(INDEX(Teams!$B$2:$B$49,MATCH($M68,Teams!$A$2:$A$49,0)),"Draw")</f>
        <v>England</v>
      </c>
      <c r="O68" s="14" t="s">
        <v>21</v>
      </c>
      <c r="P68" s="14">
        <v>2</v>
      </c>
      <c r="Q68" s="14">
        <v>2</v>
      </c>
    </row>
    <row r="69" spans="1:17" x14ac:dyDescent="0.3">
      <c r="A69" s="14">
        <v>68</v>
      </c>
      <c r="B69" s="14" t="s">
        <v>202</v>
      </c>
      <c r="C69" s="14" t="s">
        <v>34</v>
      </c>
      <c r="D69" s="14" t="s">
        <v>78</v>
      </c>
      <c r="E69" s="14">
        <v>14</v>
      </c>
      <c r="F69" s="14" t="str">
        <f>IFERROR(INDEX(Stadiums!$B$2:$B$17,MATCH($E69,Stadiums!$A$2:$A$17,0)),"")</f>
        <v>Philadelphia Stadium</v>
      </c>
      <c r="G69" s="14">
        <v>18</v>
      </c>
      <c r="H69" s="14" t="str">
        <f>IFERROR(INDEX(Teams!$B$2:$B$49,MATCH($G69,Teams!$A$2:$A$49,0)),"")</f>
        <v>Croatia</v>
      </c>
      <c r="I69" s="14">
        <v>29</v>
      </c>
      <c r="J69" s="14" t="str">
        <f>IFERROR(INDEX(Teams!$B$2:$B$49,MATCH($I69,Teams!$A$2:$A$49,0)),"")</f>
        <v>Ghana</v>
      </c>
      <c r="K69" s="14">
        <v>2</v>
      </c>
      <c r="L69" s="14">
        <v>1</v>
      </c>
      <c r="M69" s="14">
        <v>18</v>
      </c>
      <c r="N69" s="14" t="str">
        <f>IFERROR(INDEX(Teams!$B$2:$B$49,MATCH($M69,Teams!$A$2:$A$49,0)),"Draw")</f>
        <v>Croatia</v>
      </c>
      <c r="O69" s="14" t="s">
        <v>19</v>
      </c>
      <c r="P69" s="14">
        <v>3</v>
      </c>
      <c r="Q69" s="14">
        <v>1</v>
      </c>
    </row>
    <row r="70" spans="1:17" x14ac:dyDescent="0.3">
      <c r="A70" s="14">
        <v>69</v>
      </c>
      <c r="B70" s="14" t="s">
        <v>202</v>
      </c>
      <c r="C70" s="14" t="s">
        <v>34</v>
      </c>
      <c r="D70" s="14" t="s">
        <v>66</v>
      </c>
      <c r="E70" s="14">
        <v>10</v>
      </c>
      <c r="F70" s="14" t="str">
        <f>IFERROR(INDEX(Stadiums!$B$2:$B$17,MATCH($E70,Stadiums!$A$2:$A$17,0)),"")</f>
        <v>Kansas City Stadium</v>
      </c>
      <c r="G70" s="14">
        <v>25</v>
      </c>
      <c r="H70" s="14" t="str">
        <f>IFERROR(INDEX(Teams!$B$2:$B$49,MATCH($G70,Teams!$A$2:$A$49,0)),"")</f>
        <v>Algeria</v>
      </c>
      <c r="I70" s="14">
        <v>14</v>
      </c>
      <c r="J70" s="14" t="str">
        <f>IFERROR(INDEX(Teams!$B$2:$B$49,MATCH($I70,Teams!$A$2:$A$49,0)),"")</f>
        <v>Austria</v>
      </c>
      <c r="K70" s="14">
        <v>3</v>
      </c>
      <c r="L70" s="14">
        <v>3</v>
      </c>
      <c r="M70" s="14"/>
      <c r="N70" s="14" t="str">
        <f>IFERROR(INDEX(Teams!$B$2:$B$49,MATCH($M70,Teams!$A$2:$A$49,0)),"Draw")</f>
        <v>Draw</v>
      </c>
      <c r="O70" s="14" t="s">
        <v>20</v>
      </c>
      <c r="P70" s="14">
        <v>6</v>
      </c>
      <c r="Q70" s="14">
        <v>0</v>
      </c>
    </row>
    <row r="71" spans="1:17" x14ac:dyDescent="0.3">
      <c r="A71" s="14">
        <v>70</v>
      </c>
      <c r="B71" s="14" t="s">
        <v>202</v>
      </c>
      <c r="C71" s="14" t="s">
        <v>34</v>
      </c>
      <c r="D71" s="14" t="s">
        <v>66</v>
      </c>
      <c r="E71" s="14">
        <v>8</v>
      </c>
      <c r="F71" s="14" t="str">
        <f>IFERROR(INDEX(Stadiums!$B$2:$B$17,MATCH($E71,Stadiums!$A$2:$A$17,0)),"")</f>
        <v>Dallas Stadium</v>
      </c>
      <c r="G71" s="14">
        <v>41</v>
      </c>
      <c r="H71" s="14" t="str">
        <f>IFERROR(INDEX(Teams!$B$2:$B$49,MATCH($G71,Teams!$A$2:$A$49,0)),"")</f>
        <v>Jordan</v>
      </c>
      <c r="I71" s="14">
        <v>1</v>
      </c>
      <c r="J71" s="14" t="str">
        <f>IFERROR(INDEX(Teams!$B$2:$B$49,MATCH($I71,Teams!$A$2:$A$49,0)),"")</f>
        <v>Argentina</v>
      </c>
      <c r="K71" s="14">
        <v>1</v>
      </c>
      <c r="L71" s="14">
        <v>3</v>
      </c>
      <c r="M71" s="14">
        <v>1</v>
      </c>
      <c r="N71" s="14" t="str">
        <f>IFERROR(INDEX(Teams!$B$2:$B$49,MATCH($M71,Teams!$A$2:$A$49,0)),"Draw")</f>
        <v>Argentina</v>
      </c>
      <c r="O71" s="14" t="s">
        <v>21</v>
      </c>
      <c r="P71" s="14">
        <v>4</v>
      </c>
      <c r="Q71" s="14">
        <v>2</v>
      </c>
    </row>
    <row r="72" spans="1:17" x14ac:dyDescent="0.3">
      <c r="A72" s="14">
        <v>71</v>
      </c>
      <c r="B72" s="14" t="s">
        <v>202</v>
      </c>
      <c r="C72" s="14" t="s">
        <v>34</v>
      </c>
      <c r="D72" s="14" t="s">
        <v>75</v>
      </c>
      <c r="E72" s="14">
        <v>12</v>
      </c>
      <c r="F72" s="14" t="str">
        <f>IFERROR(INDEX(Stadiums!$B$2:$B$17,MATCH($E72,Stadiums!$A$2:$A$17,0)),"")</f>
        <v>Miami Stadium</v>
      </c>
      <c r="G72" s="14">
        <v>4</v>
      </c>
      <c r="H72" s="14" t="str">
        <f>IFERROR(INDEX(Teams!$B$2:$B$49,MATCH($G72,Teams!$A$2:$A$49,0)),"")</f>
        <v>Colombia</v>
      </c>
      <c r="I72" s="14">
        <v>23</v>
      </c>
      <c r="J72" s="14" t="str">
        <f>IFERROR(INDEX(Teams!$B$2:$B$49,MATCH($I72,Teams!$A$2:$A$49,0)),"")</f>
        <v>Portugal</v>
      </c>
      <c r="K72" s="14">
        <v>0</v>
      </c>
      <c r="L72" s="14">
        <v>0</v>
      </c>
      <c r="M72" s="14"/>
      <c r="N72" s="14" t="str">
        <f>IFERROR(INDEX(Teams!$B$2:$B$49,MATCH($M72,Teams!$A$2:$A$49,0)),"Draw")</f>
        <v>Draw</v>
      </c>
      <c r="O72" s="14" t="s">
        <v>20</v>
      </c>
      <c r="P72" s="14">
        <v>0</v>
      </c>
      <c r="Q72" s="14">
        <v>0</v>
      </c>
    </row>
    <row r="73" spans="1:17" x14ac:dyDescent="0.3">
      <c r="A73" s="14">
        <v>72</v>
      </c>
      <c r="B73" s="14" t="s">
        <v>202</v>
      </c>
      <c r="C73" s="14" t="s">
        <v>34</v>
      </c>
      <c r="D73" s="14" t="s">
        <v>75</v>
      </c>
      <c r="E73" s="14">
        <v>6</v>
      </c>
      <c r="F73" s="14" t="str">
        <f>IFERROR(INDEX(Stadiums!$B$2:$B$17,MATCH($E73,Stadiums!$A$2:$A$17,0)),"")</f>
        <v>Atlanta Stadium</v>
      </c>
      <c r="G73" s="14">
        <v>27</v>
      </c>
      <c r="H73" s="14" t="str">
        <f>IFERROR(INDEX(Teams!$B$2:$B$49,MATCH($G73,Teams!$A$2:$A$49,0)),"")</f>
        <v>Congo DR</v>
      </c>
      <c r="I73" s="14">
        <v>48</v>
      </c>
      <c r="J73" s="14" t="str">
        <f>IFERROR(INDEX(Teams!$B$2:$B$49,MATCH($I73,Teams!$A$2:$A$49,0)),"")</f>
        <v>Uzbekistan</v>
      </c>
      <c r="K73" s="14">
        <v>3</v>
      </c>
      <c r="L73" s="14">
        <v>1</v>
      </c>
      <c r="M73" s="14">
        <v>27</v>
      </c>
      <c r="N73" s="14" t="str">
        <f>IFERROR(INDEX(Teams!$B$2:$B$49,MATCH($M73,Teams!$A$2:$A$49,0)),"Draw")</f>
        <v>Congo DR</v>
      </c>
      <c r="O73" s="14" t="s">
        <v>19</v>
      </c>
      <c r="P73" s="14">
        <v>4</v>
      </c>
      <c r="Q73" s="14">
        <v>2</v>
      </c>
    </row>
    <row r="74" spans="1:17" x14ac:dyDescent="0.3">
      <c r="A74" s="14">
        <v>73</v>
      </c>
      <c r="B74" s="14" t="s">
        <v>203</v>
      </c>
      <c r="C74" s="14" t="s">
        <v>35</v>
      </c>
      <c r="D74" s="14"/>
      <c r="E74" s="14">
        <v>11</v>
      </c>
      <c r="F74" s="14" t="str">
        <f>IFERROR(INDEX(Stadiums!$B$2:$B$17,MATCH($E74,Stadiums!$A$2:$A$17,0)),"")</f>
        <v>Los Angeles Stadium</v>
      </c>
      <c r="G74" s="14">
        <v>24</v>
      </c>
      <c r="H74" s="14" t="str">
        <f>IFERROR(INDEX(Teams!$B$2:$B$49,MATCH($G74,Teams!$A$2:$A$49,0)),"")</f>
        <v>South Africa</v>
      </c>
      <c r="I74" s="14">
        <v>16</v>
      </c>
      <c r="J74" s="14" t="str">
        <f>IFERROR(INDEX(Teams!$B$2:$B$49,MATCH($I74,Teams!$A$2:$A$49,0)),"")</f>
        <v>Canada</v>
      </c>
      <c r="K74" s="14">
        <v>0</v>
      </c>
      <c r="L74" s="14">
        <v>1</v>
      </c>
      <c r="M74" s="14">
        <v>16</v>
      </c>
      <c r="N74" s="14" t="str">
        <f>IFERROR(INDEX(Teams!$B$2:$B$49,MATCH($M74,Teams!$A$2:$A$49,0)),"Draw")</f>
        <v>Canada</v>
      </c>
      <c r="O74" s="14" t="s">
        <v>21</v>
      </c>
      <c r="P74" s="14">
        <v>1</v>
      </c>
      <c r="Q74" s="14">
        <v>1</v>
      </c>
    </row>
    <row r="75" spans="1:17" x14ac:dyDescent="0.3">
      <c r="A75" s="14">
        <v>74</v>
      </c>
      <c r="B75" s="14" t="s">
        <v>204</v>
      </c>
      <c r="C75" s="14" t="s">
        <v>35</v>
      </c>
      <c r="D75" s="14"/>
      <c r="E75" s="14">
        <v>7</v>
      </c>
      <c r="F75" s="14" t="str">
        <f>IFERROR(INDEX(Stadiums!$B$2:$B$17,MATCH($E75,Stadiums!$A$2:$A$17,0)),"")</f>
        <v>Boston Stadium</v>
      </c>
      <c r="G75" s="14">
        <v>7</v>
      </c>
      <c r="H75" s="14" t="str">
        <f>IFERROR(INDEX(Teams!$B$2:$B$49,MATCH($G75,Teams!$A$2:$A$49,0)),"")</f>
        <v>Germany</v>
      </c>
      <c r="I75" s="14">
        <v>32</v>
      </c>
      <c r="J75" s="14" t="str">
        <f>IFERROR(INDEX(Teams!$B$2:$B$49,MATCH($I75,Teams!$A$2:$A$49,0)),"")</f>
        <v>Paraguay</v>
      </c>
      <c r="K75" s="14">
        <v>1</v>
      </c>
      <c r="L75" s="14">
        <v>1</v>
      </c>
      <c r="M75" s="14">
        <v>32</v>
      </c>
      <c r="N75" s="14" t="str">
        <f>IFERROR(INDEX(Teams!$B$2:$B$49,MATCH($M75,Teams!$A$2:$A$49,0)),"Draw")</f>
        <v>Paraguay</v>
      </c>
      <c r="O75" s="14" t="s">
        <v>21</v>
      </c>
      <c r="P75" s="14">
        <v>2</v>
      </c>
      <c r="Q75" s="14">
        <v>0</v>
      </c>
    </row>
    <row r="76" spans="1:17" x14ac:dyDescent="0.3">
      <c r="A76" s="14">
        <v>75</v>
      </c>
      <c r="B76" s="14" t="s">
        <v>204</v>
      </c>
      <c r="C76" s="14" t="s">
        <v>35</v>
      </c>
      <c r="D76" s="14"/>
      <c r="E76" s="14">
        <v>5</v>
      </c>
      <c r="F76" s="14" t="str">
        <f>IFERROR(INDEX(Stadiums!$B$2:$B$17,MATCH($E76,Stadiums!$A$2:$A$17,0)),"")</f>
        <v>Estadio Monterrey</v>
      </c>
      <c r="G76" s="14">
        <v>9</v>
      </c>
      <c r="H76" s="14" t="str">
        <f>IFERROR(INDEX(Teams!$B$2:$B$49,MATCH($G76,Teams!$A$2:$A$49,0)),"")</f>
        <v>Netherlands</v>
      </c>
      <c r="I76" s="14">
        <v>21</v>
      </c>
      <c r="J76" s="14" t="str">
        <f>IFERROR(INDEX(Teams!$B$2:$B$49,MATCH($I76,Teams!$A$2:$A$49,0)),"")</f>
        <v>Morocco</v>
      </c>
      <c r="K76" s="14">
        <v>1</v>
      </c>
      <c r="L76" s="14">
        <v>1</v>
      </c>
      <c r="M76" s="14">
        <v>21</v>
      </c>
      <c r="N76" s="14" t="str">
        <f>IFERROR(INDEX(Teams!$B$2:$B$49,MATCH($M76,Teams!$A$2:$A$49,0)),"Draw")</f>
        <v>Morocco</v>
      </c>
      <c r="O76" s="14" t="s">
        <v>21</v>
      </c>
      <c r="P76" s="14">
        <v>2</v>
      </c>
      <c r="Q76" s="14">
        <v>0</v>
      </c>
    </row>
    <row r="77" spans="1:17" x14ac:dyDescent="0.3">
      <c r="A77" s="14">
        <v>76</v>
      </c>
      <c r="B77" s="14" t="s">
        <v>204</v>
      </c>
      <c r="C77" s="14" t="s">
        <v>35</v>
      </c>
      <c r="D77" s="14"/>
      <c r="E77" s="14">
        <v>9</v>
      </c>
      <c r="F77" s="14" t="str">
        <f>IFERROR(INDEX(Stadiums!$B$2:$B$17,MATCH($E77,Stadiums!$A$2:$A$17,0)),"")</f>
        <v>Houston Stadium</v>
      </c>
      <c r="G77" s="14">
        <v>3</v>
      </c>
      <c r="H77" s="14" t="str">
        <f>IFERROR(INDEX(Teams!$B$2:$B$49,MATCH($G77,Teams!$A$2:$A$49,0)),"")</f>
        <v>Brazil</v>
      </c>
      <c r="I77" s="14">
        <v>20</v>
      </c>
      <c r="J77" s="14" t="str">
        <f>IFERROR(INDEX(Teams!$B$2:$B$49,MATCH($I77,Teams!$A$2:$A$49,0)),"")</f>
        <v>Japan</v>
      </c>
      <c r="K77" s="14">
        <v>2</v>
      </c>
      <c r="L77" s="14">
        <v>1</v>
      </c>
      <c r="M77" s="14">
        <v>3</v>
      </c>
      <c r="N77" s="14" t="str">
        <f>IFERROR(INDEX(Teams!$B$2:$B$49,MATCH($M77,Teams!$A$2:$A$49,0)),"Draw")</f>
        <v>Brazil</v>
      </c>
      <c r="O77" s="14" t="s">
        <v>19</v>
      </c>
      <c r="P77" s="14">
        <v>3</v>
      </c>
      <c r="Q77" s="14">
        <v>1</v>
      </c>
    </row>
    <row r="78" spans="1:17" x14ac:dyDescent="0.3">
      <c r="A78" s="14">
        <v>77</v>
      </c>
      <c r="B78" s="14" t="s">
        <v>205</v>
      </c>
      <c r="C78" s="14" t="s">
        <v>35</v>
      </c>
      <c r="D78" s="14"/>
      <c r="E78" s="14">
        <v>13</v>
      </c>
      <c r="F78" s="14" t="str">
        <f>IFERROR(INDEX(Stadiums!$B$2:$B$17,MATCH($E78,Stadiums!$A$2:$A$17,0)),"")</f>
        <v>New York New Jersey Stadium</v>
      </c>
      <c r="G78" s="14">
        <v>6</v>
      </c>
      <c r="H78" s="14" t="str">
        <f>IFERROR(INDEX(Teams!$B$2:$B$49,MATCH($G78,Teams!$A$2:$A$49,0)),"")</f>
        <v>France</v>
      </c>
      <c r="I78" s="14">
        <v>35</v>
      </c>
      <c r="J78" s="14" t="str">
        <f>IFERROR(INDEX(Teams!$B$2:$B$49,MATCH($I78,Teams!$A$2:$A$49,0)),"")</f>
        <v>Sweden</v>
      </c>
      <c r="K78" s="14">
        <v>3</v>
      </c>
      <c r="L78" s="14">
        <v>0</v>
      </c>
      <c r="M78" s="14">
        <v>6</v>
      </c>
      <c r="N78" s="14" t="str">
        <f>IFERROR(INDEX(Teams!$B$2:$B$49,MATCH($M78,Teams!$A$2:$A$49,0)),"Draw")</f>
        <v>France</v>
      </c>
      <c r="O78" s="14" t="s">
        <v>19</v>
      </c>
      <c r="P78" s="14">
        <v>3</v>
      </c>
      <c r="Q78" s="14">
        <v>3</v>
      </c>
    </row>
    <row r="79" spans="1:17" x14ac:dyDescent="0.3">
      <c r="A79" s="14">
        <v>78</v>
      </c>
      <c r="B79" s="14" t="s">
        <v>205</v>
      </c>
      <c r="C79" s="14" t="s">
        <v>35</v>
      </c>
      <c r="D79" s="14"/>
      <c r="E79" s="14">
        <v>8</v>
      </c>
      <c r="F79" s="14" t="str">
        <f>IFERROR(INDEX(Stadiums!$B$2:$B$17,MATCH($E79,Stadiums!$A$2:$A$17,0)),"")</f>
        <v>Dallas Stadium</v>
      </c>
      <c r="G79" s="14">
        <v>17</v>
      </c>
      <c r="H79" s="14" t="str">
        <f>IFERROR(INDEX(Teams!$B$2:$B$49,MATCH($G79,Teams!$A$2:$A$49,0)),"")</f>
        <v>Côte d'Ivoire</v>
      </c>
      <c r="I79" s="14">
        <v>22</v>
      </c>
      <c r="J79" s="14" t="str">
        <f>IFERROR(INDEX(Teams!$B$2:$B$49,MATCH($I79,Teams!$A$2:$A$49,0)),"")</f>
        <v>Norway</v>
      </c>
      <c r="K79" s="14">
        <v>1</v>
      </c>
      <c r="L79" s="14">
        <v>2</v>
      </c>
      <c r="M79" s="14">
        <v>22</v>
      </c>
      <c r="N79" s="14" t="str">
        <f>IFERROR(INDEX(Teams!$B$2:$B$49,MATCH($M79,Teams!$A$2:$A$49,0)),"Draw")</f>
        <v>Norway</v>
      </c>
      <c r="O79" s="14" t="s">
        <v>21</v>
      </c>
      <c r="P79" s="14">
        <v>3</v>
      </c>
      <c r="Q79" s="14">
        <v>1</v>
      </c>
    </row>
    <row r="80" spans="1:17" x14ac:dyDescent="0.3">
      <c r="A80" s="14">
        <v>79</v>
      </c>
      <c r="B80" s="14" t="s">
        <v>205</v>
      </c>
      <c r="C80" s="14" t="s">
        <v>35</v>
      </c>
      <c r="D80" s="14"/>
      <c r="E80" s="14">
        <v>3</v>
      </c>
      <c r="F80" s="14" t="str">
        <f>IFERROR(INDEX(Stadiums!$B$2:$B$17,MATCH($E80,Stadiums!$A$2:$A$17,0)),"")</f>
        <v>Mexico City Stadium</v>
      </c>
      <c r="G80" s="14">
        <v>8</v>
      </c>
      <c r="H80" s="14" t="str">
        <f>IFERROR(INDEX(Teams!$B$2:$B$49,MATCH($G80,Teams!$A$2:$A$49,0)),"")</f>
        <v>Mexico</v>
      </c>
      <c r="I80" s="14">
        <v>28</v>
      </c>
      <c r="J80" s="14" t="str">
        <f>IFERROR(INDEX(Teams!$B$2:$B$49,MATCH($I80,Teams!$A$2:$A$49,0)),"")</f>
        <v>Ecuador</v>
      </c>
      <c r="K80" s="14">
        <v>2</v>
      </c>
      <c r="L80" s="14">
        <v>0</v>
      </c>
      <c r="M80" s="14">
        <v>8</v>
      </c>
      <c r="N80" s="14" t="str">
        <f>IFERROR(INDEX(Teams!$B$2:$B$49,MATCH($M80,Teams!$A$2:$A$49,0)),"Draw")</f>
        <v>Mexico</v>
      </c>
      <c r="O80" s="14" t="s">
        <v>19</v>
      </c>
      <c r="P80" s="14">
        <v>2</v>
      </c>
      <c r="Q80" s="14">
        <v>2</v>
      </c>
    </row>
    <row r="81" spans="1:17" x14ac:dyDescent="0.3">
      <c r="A81" s="14">
        <v>80</v>
      </c>
      <c r="B81" s="14" t="s">
        <v>206</v>
      </c>
      <c r="C81" s="14" t="s">
        <v>35</v>
      </c>
      <c r="D81" s="14"/>
      <c r="E81" s="14">
        <v>6</v>
      </c>
      <c r="F81" s="14" t="str">
        <f>IFERROR(INDEX(Stadiums!$B$2:$B$17,MATCH($E81,Stadiums!$A$2:$A$17,0)),"")</f>
        <v>Atlanta Stadium</v>
      </c>
      <c r="G81" s="14">
        <v>5</v>
      </c>
      <c r="H81" s="14" t="str">
        <f>IFERROR(INDEX(Teams!$B$2:$B$49,MATCH($G81,Teams!$A$2:$A$49,0)),"")</f>
        <v>England</v>
      </c>
      <c r="I81" s="14">
        <v>27</v>
      </c>
      <c r="J81" s="14" t="str">
        <f>IFERROR(INDEX(Teams!$B$2:$B$49,MATCH($I81,Teams!$A$2:$A$49,0)),"")</f>
        <v>Congo DR</v>
      </c>
      <c r="K81" s="14">
        <v>2</v>
      </c>
      <c r="L81" s="14">
        <v>1</v>
      </c>
      <c r="M81" s="14">
        <v>5</v>
      </c>
      <c r="N81" s="14" t="str">
        <f>IFERROR(INDEX(Teams!$B$2:$B$49,MATCH($M81,Teams!$A$2:$A$49,0)),"Draw")</f>
        <v>England</v>
      </c>
      <c r="O81" s="14" t="s">
        <v>19</v>
      </c>
      <c r="P81" s="14">
        <v>3</v>
      </c>
      <c r="Q81" s="14">
        <v>1</v>
      </c>
    </row>
    <row r="82" spans="1:17" x14ac:dyDescent="0.3">
      <c r="A82" s="14">
        <v>81</v>
      </c>
      <c r="B82" s="14" t="s">
        <v>206</v>
      </c>
      <c r="C82" s="14" t="s">
        <v>35</v>
      </c>
      <c r="D82" s="14"/>
      <c r="E82" s="14">
        <v>15</v>
      </c>
      <c r="F82" s="14" t="str">
        <f>IFERROR(INDEX(Stadiums!$B$2:$B$17,MATCH($E82,Stadiums!$A$2:$A$17,0)),"")</f>
        <v>San Francisco Bay Area Stadium</v>
      </c>
      <c r="G82" s="14">
        <v>12</v>
      </c>
      <c r="H82" s="14" t="str">
        <f>IFERROR(INDEX(Teams!$B$2:$B$49,MATCH($G82,Teams!$A$2:$A$49,0)),"")</f>
        <v>USA</v>
      </c>
      <c r="I82" s="14">
        <v>26</v>
      </c>
      <c r="J82" s="14" t="str">
        <f>IFERROR(INDEX(Teams!$B$2:$B$49,MATCH($I82,Teams!$A$2:$A$49,0)),"")</f>
        <v>Bosnia and Herzegovina</v>
      </c>
      <c r="K82" s="14">
        <v>2</v>
      </c>
      <c r="L82" s="14">
        <v>0</v>
      </c>
      <c r="M82" s="14">
        <v>12</v>
      </c>
      <c r="N82" s="14" t="str">
        <f>IFERROR(INDEX(Teams!$B$2:$B$49,MATCH($M82,Teams!$A$2:$A$49,0)),"Draw")</f>
        <v>USA</v>
      </c>
      <c r="O82" s="14" t="s">
        <v>19</v>
      </c>
      <c r="P82" s="14">
        <v>2</v>
      </c>
      <c r="Q82" s="14">
        <v>2</v>
      </c>
    </row>
    <row r="83" spans="1:17" x14ac:dyDescent="0.3">
      <c r="A83" s="14">
        <v>82</v>
      </c>
      <c r="B83" s="14" t="s">
        <v>206</v>
      </c>
      <c r="C83" s="14" t="s">
        <v>35</v>
      </c>
      <c r="D83" s="14"/>
      <c r="E83" s="14">
        <v>16</v>
      </c>
      <c r="F83" s="14" t="str">
        <f>IFERROR(INDEX(Stadiums!$B$2:$B$17,MATCH($E83,Stadiums!$A$2:$A$17,0)),"")</f>
        <v>Seattle Stadium</v>
      </c>
      <c r="G83" s="14">
        <v>2</v>
      </c>
      <c r="H83" s="14" t="str">
        <f>IFERROR(INDEX(Teams!$B$2:$B$49,MATCH($G83,Teams!$A$2:$A$49,0)),"")</f>
        <v>Belgium</v>
      </c>
      <c r="I83" s="14">
        <v>34</v>
      </c>
      <c r="J83" s="14" t="str">
        <f>IFERROR(INDEX(Teams!$B$2:$B$49,MATCH($I83,Teams!$A$2:$A$49,0)),"")</f>
        <v>Senegal</v>
      </c>
      <c r="K83" s="14">
        <v>3</v>
      </c>
      <c r="L83" s="14">
        <v>2</v>
      </c>
      <c r="M83" s="14">
        <v>2</v>
      </c>
      <c r="N83" s="14" t="str">
        <f>IFERROR(INDEX(Teams!$B$2:$B$49,MATCH($M83,Teams!$A$2:$A$49,0)),"Draw")</f>
        <v>Belgium</v>
      </c>
      <c r="O83" s="14" t="s">
        <v>19</v>
      </c>
      <c r="P83" s="14">
        <v>5</v>
      </c>
      <c r="Q83" s="14">
        <v>1</v>
      </c>
    </row>
    <row r="84" spans="1:17" x14ac:dyDescent="0.3">
      <c r="A84" s="14">
        <v>83</v>
      </c>
      <c r="B84" s="14" t="s">
        <v>207</v>
      </c>
      <c r="C84" s="14" t="s">
        <v>35</v>
      </c>
      <c r="D84" s="14"/>
      <c r="E84" s="14">
        <v>1</v>
      </c>
      <c r="F84" s="14" t="str">
        <f>IFERROR(INDEX(Stadiums!$B$2:$B$17,MATCH($E84,Stadiums!$A$2:$A$17,0)),"")</f>
        <v>Toronto Stadium</v>
      </c>
      <c r="G84" s="14">
        <v>23</v>
      </c>
      <c r="H84" s="14" t="str">
        <f>IFERROR(INDEX(Teams!$B$2:$B$49,MATCH($G84,Teams!$A$2:$A$49,0)),"")</f>
        <v>Portugal</v>
      </c>
      <c r="I84" s="14">
        <v>18</v>
      </c>
      <c r="J84" s="14" t="str">
        <f>IFERROR(INDEX(Teams!$B$2:$B$49,MATCH($I84,Teams!$A$2:$A$49,0)),"")</f>
        <v>Croatia</v>
      </c>
      <c r="K84" s="14">
        <v>2</v>
      </c>
      <c r="L84" s="14">
        <v>1</v>
      </c>
      <c r="M84" s="14">
        <v>23</v>
      </c>
      <c r="N84" s="14" t="str">
        <f>IFERROR(INDEX(Teams!$B$2:$B$49,MATCH($M84,Teams!$A$2:$A$49,0)),"Draw")</f>
        <v>Portugal</v>
      </c>
      <c r="O84" s="14" t="s">
        <v>19</v>
      </c>
      <c r="P84" s="14">
        <v>3</v>
      </c>
      <c r="Q84" s="14">
        <v>1</v>
      </c>
    </row>
    <row r="85" spans="1:17" x14ac:dyDescent="0.3">
      <c r="A85" s="14">
        <v>84</v>
      </c>
      <c r="B85" s="14" t="s">
        <v>207</v>
      </c>
      <c r="C85" s="14" t="s">
        <v>35</v>
      </c>
      <c r="D85" s="14"/>
      <c r="E85" s="14">
        <v>11</v>
      </c>
      <c r="F85" s="14" t="str">
        <f>IFERROR(INDEX(Stadiums!$B$2:$B$17,MATCH($E85,Stadiums!$A$2:$A$17,0)),"")</f>
        <v>Los Angeles Stadium</v>
      </c>
      <c r="G85" s="14">
        <v>10</v>
      </c>
      <c r="H85" s="14" t="str">
        <f>IFERROR(INDEX(Teams!$B$2:$B$49,MATCH($G85,Teams!$A$2:$A$49,0)),"")</f>
        <v>Spain</v>
      </c>
      <c r="I85" s="14">
        <v>14</v>
      </c>
      <c r="J85" s="14" t="str">
        <f>IFERROR(INDEX(Teams!$B$2:$B$49,MATCH($I85,Teams!$A$2:$A$49,0)),"")</f>
        <v>Austria</v>
      </c>
      <c r="K85" s="14">
        <v>3</v>
      </c>
      <c r="L85" s="14">
        <v>0</v>
      </c>
      <c r="M85" s="14">
        <v>10</v>
      </c>
      <c r="N85" s="14" t="str">
        <f>IFERROR(INDEX(Teams!$B$2:$B$49,MATCH($M85,Teams!$A$2:$A$49,0)),"Draw")</f>
        <v>Spain</v>
      </c>
      <c r="O85" s="14" t="s">
        <v>19</v>
      </c>
      <c r="P85" s="14">
        <v>3</v>
      </c>
      <c r="Q85" s="14">
        <v>3</v>
      </c>
    </row>
    <row r="86" spans="1:17" x14ac:dyDescent="0.3">
      <c r="A86" s="14">
        <v>85</v>
      </c>
      <c r="B86" s="14" t="s">
        <v>207</v>
      </c>
      <c r="C86" s="14" t="s">
        <v>35</v>
      </c>
      <c r="D86" s="14"/>
      <c r="E86" s="14">
        <v>2</v>
      </c>
      <c r="F86" s="14" t="str">
        <f>IFERROR(INDEX(Stadiums!$B$2:$B$17,MATCH($E86,Stadiums!$A$2:$A$17,0)),"")</f>
        <v>BC Place Vancouver</v>
      </c>
      <c r="G86" s="14">
        <v>11</v>
      </c>
      <c r="H86" s="14" t="str">
        <f>IFERROR(INDEX(Teams!$B$2:$B$49,MATCH($G86,Teams!$A$2:$A$49,0)),"")</f>
        <v>Switzerland</v>
      </c>
      <c r="I86" s="14">
        <v>25</v>
      </c>
      <c r="J86" s="14" t="str">
        <f>IFERROR(INDEX(Teams!$B$2:$B$49,MATCH($I86,Teams!$A$2:$A$49,0)),"")</f>
        <v>Algeria</v>
      </c>
      <c r="K86" s="14">
        <v>2</v>
      </c>
      <c r="L86" s="14">
        <v>0</v>
      </c>
      <c r="M86" s="14">
        <v>11</v>
      </c>
      <c r="N86" s="14" t="str">
        <f>IFERROR(INDEX(Teams!$B$2:$B$49,MATCH($M86,Teams!$A$2:$A$49,0)),"Draw")</f>
        <v>Switzerland</v>
      </c>
      <c r="O86" s="14" t="s">
        <v>19</v>
      </c>
      <c r="P86" s="14">
        <v>2</v>
      </c>
      <c r="Q86" s="14">
        <v>2</v>
      </c>
    </row>
    <row r="87" spans="1:17" x14ac:dyDescent="0.3">
      <c r="A87" s="14">
        <v>86</v>
      </c>
      <c r="B87" s="14" t="s">
        <v>208</v>
      </c>
      <c r="C87" s="14" t="s">
        <v>35</v>
      </c>
      <c r="D87" s="14"/>
      <c r="E87" s="14">
        <v>12</v>
      </c>
      <c r="F87" s="14" t="str">
        <f>IFERROR(INDEX(Stadiums!$B$2:$B$17,MATCH($E87,Stadiums!$A$2:$A$17,0)),"")</f>
        <v>Miami Stadium</v>
      </c>
      <c r="G87" s="14">
        <v>1</v>
      </c>
      <c r="H87" s="14" t="str">
        <f>IFERROR(INDEX(Teams!$B$2:$B$49,MATCH($G87,Teams!$A$2:$A$49,0)),"")</f>
        <v>Argentina</v>
      </c>
      <c r="I87" s="14">
        <v>15</v>
      </c>
      <c r="J87" s="14" t="str">
        <f>IFERROR(INDEX(Teams!$B$2:$B$49,MATCH($I87,Teams!$A$2:$A$49,0)),"")</f>
        <v>Cabo Verde</v>
      </c>
      <c r="K87" s="14">
        <v>3</v>
      </c>
      <c r="L87" s="14">
        <v>2</v>
      </c>
      <c r="M87" s="14">
        <v>1</v>
      </c>
      <c r="N87" s="14" t="str">
        <f>IFERROR(INDEX(Teams!$B$2:$B$49,MATCH($M87,Teams!$A$2:$A$49,0)),"Draw")</f>
        <v>Argentina</v>
      </c>
      <c r="O87" s="14" t="s">
        <v>19</v>
      </c>
      <c r="P87" s="14">
        <v>5</v>
      </c>
      <c r="Q87" s="14">
        <v>1</v>
      </c>
    </row>
    <row r="88" spans="1:17" x14ac:dyDescent="0.3">
      <c r="A88" s="14">
        <v>87</v>
      </c>
      <c r="B88" s="14" t="s">
        <v>208</v>
      </c>
      <c r="C88" s="14" t="s">
        <v>35</v>
      </c>
      <c r="D88" s="14"/>
      <c r="E88" s="14">
        <v>10</v>
      </c>
      <c r="F88" s="14" t="str">
        <f>IFERROR(INDEX(Stadiums!$B$2:$B$17,MATCH($E88,Stadiums!$A$2:$A$17,0)),"")</f>
        <v>Kansas City Stadium</v>
      </c>
      <c r="G88" s="14">
        <v>4</v>
      </c>
      <c r="H88" s="14" t="str">
        <f>IFERROR(INDEX(Teams!$B$2:$B$49,MATCH($G88,Teams!$A$2:$A$49,0)),"")</f>
        <v>Colombia</v>
      </c>
      <c r="I88" s="14">
        <v>29</v>
      </c>
      <c r="J88" s="14" t="str">
        <f>IFERROR(INDEX(Teams!$B$2:$B$49,MATCH($I88,Teams!$A$2:$A$49,0)),"")</f>
        <v>Ghana</v>
      </c>
      <c r="K88" s="14">
        <v>1</v>
      </c>
      <c r="L88" s="14">
        <v>0</v>
      </c>
      <c r="M88" s="14">
        <v>4</v>
      </c>
      <c r="N88" s="14" t="str">
        <f>IFERROR(INDEX(Teams!$B$2:$B$49,MATCH($M88,Teams!$A$2:$A$49,0)),"Draw")</f>
        <v>Colombia</v>
      </c>
      <c r="O88" s="14" t="s">
        <v>19</v>
      </c>
      <c r="P88" s="14">
        <v>1</v>
      </c>
      <c r="Q88" s="14">
        <v>1</v>
      </c>
    </row>
    <row r="89" spans="1:17" x14ac:dyDescent="0.3">
      <c r="A89" s="14">
        <v>88</v>
      </c>
      <c r="B89" s="14" t="s">
        <v>208</v>
      </c>
      <c r="C89" s="14" t="s">
        <v>35</v>
      </c>
      <c r="D89" s="14"/>
      <c r="E89" s="14">
        <v>8</v>
      </c>
      <c r="F89" s="14" t="str">
        <f>IFERROR(INDEX(Stadiums!$B$2:$B$17,MATCH($E89,Stadiums!$A$2:$A$17,0)),"")</f>
        <v>Dallas Stadium</v>
      </c>
      <c r="G89" s="14">
        <v>13</v>
      </c>
      <c r="H89" s="14" t="str">
        <f>IFERROR(INDEX(Teams!$B$2:$B$49,MATCH($G89,Teams!$A$2:$A$49,0)),"")</f>
        <v>Australia</v>
      </c>
      <c r="I89" s="14">
        <v>19</v>
      </c>
      <c r="J89" s="14" t="str">
        <f>IFERROR(INDEX(Teams!$B$2:$B$49,MATCH($I89,Teams!$A$2:$A$49,0)),"")</f>
        <v>Egypt</v>
      </c>
      <c r="K89" s="14">
        <v>1</v>
      </c>
      <c r="L89" s="14">
        <v>1</v>
      </c>
      <c r="M89" s="14">
        <v>19</v>
      </c>
      <c r="N89" s="14" t="str">
        <f>IFERROR(INDEX(Teams!$B$2:$B$49,MATCH($M89,Teams!$A$2:$A$49,0)),"Draw")</f>
        <v>Egypt</v>
      </c>
      <c r="O89" s="14" t="s">
        <v>21</v>
      </c>
      <c r="P89" s="14">
        <v>2</v>
      </c>
      <c r="Q89" s="14">
        <v>0</v>
      </c>
    </row>
    <row r="90" spans="1:17" x14ac:dyDescent="0.3">
      <c r="A90" s="14">
        <v>89</v>
      </c>
      <c r="B90" s="14" t="s">
        <v>209</v>
      </c>
      <c r="C90" s="14" t="s">
        <v>36</v>
      </c>
      <c r="D90" s="14"/>
      <c r="E90" s="14">
        <v>14</v>
      </c>
      <c r="F90" s="14" t="str">
        <f>IFERROR(INDEX(Stadiums!$B$2:$B$17,MATCH($E90,Stadiums!$A$2:$A$17,0)),"")</f>
        <v>Philadelphia Stadium</v>
      </c>
      <c r="G90" s="14">
        <v>32</v>
      </c>
      <c r="H90" s="14" t="str">
        <f>IFERROR(INDEX(Teams!$B$2:$B$49,MATCH($G90,Teams!$A$2:$A$49,0)),"")</f>
        <v>Paraguay</v>
      </c>
      <c r="I90" s="14">
        <v>6</v>
      </c>
      <c r="J90" s="14" t="str">
        <f>IFERROR(INDEX(Teams!$B$2:$B$49,MATCH($I90,Teams!$A$2:$A$49,0)),"")</f>
        <v>France</v>
      </c>
      <c r="K90" s="14">
        <v>0</v>
      </c>
      <c r="L90" s="14">
        <v>1</v>
      </c>
      <c r="M90" s="14">
        <v>6</v>
      </c>
      <c r="N90" s="14" t="str">
        <f>IFERROR(INDEX(Teams!$B$2:$B$49,MATCH($M90,Teams!$A$2:$A$49,0)),"Draw")</f>
        <v>France</v>
      </c>
      <c r="O90" s="14" t="s">
        <v>21</v>
      </c>
      <c r="P90" s="14">
        <v>1</v>
      </c>
      <c r="Q90" s="14">
        <v>1</v>
      </c>
    </row>
    <row r="91" spans="1:17" x14ac:dyDescent="0.3">
      <c r="A91" s="14">
        <v>90</v>
      </c>
      <c r="B91" s="14" t="s">
        <v>209</v>
      </c>
      <c r="C91" s="14" t="s">
        <v>36</v>
      </c>
      <c r="D91" s="14"/>
      <c r="E91" s="14">
        <v>9</v>
      </c>
      <c r="F91" s="14" t="str">
        <f>IFERROR(INDEX(Stadiums!$B$2:$B$17,MATCH($E91,Stadiums!$A$2:$A$17,0)),"")</f>
        <v>Houston Stadium</v>
      </c>
      <c r="G91" s="14">
        <v>16</v>
      </c>
      <c r="H91" s="14" t="str">
        <f>IFERROR(INDEX(Teams!$B$2:$B$49,MATCH($G91,Teams!$A$2:$A$49,0)),"")</f>
        <v>Canada</v>
      </c>
      <c r="I91" s="14">
        <v>21</v>
      </c>
      <c r="J91" s="14" t="str">
        <f>IFERROR(INDEX(Teams!$B$2:$B$49,MATCH($I91,Teams!$A$2:$A$49,0)),"")</f>
        <v>Morocco</v>
      </c>
      <c r="K91" s="14">
        <v>0</v>
      </c>
      <c r="L91" s="14">
        <v>3</v>
      </c>
      <c r="M91" s="14">
        <v>21</v>
      </c>
      <c r="N91" s="14" t="str">
        <f>IFERROR(INDEX(Teams!$B$2:$B$49,MATCH($M91,Teams!$A$2:$A$49,0)),"Draw")</f>
        <v>Morocco</v>
      </c>
      <c r="O91" s="14" t="s">
        <v>21</v>
      </c>
      <c r="P91" s="14">
        <v>3</v>
      </c>
      <c r="Q91" s="14">
        <v>3</v>
      </c>
    </row>
    <row r="92" spans="1:17" x14ac:dyDescent="0.3">
      <c r="A92" s="14">
        <v>91</v>
      </c>
      <c r="B92" s="14" t="s">
        <v>210</v>
      </c>
      <c r="C92" s="14" t="s">
        <v>36</v>
      </c>
      <c r="D92" s="14"/>
      <c r="E92" s="14">
        <v>13</v>
      </c>
      <c r="F92" s="14" t="str">
        <f>IFERROR(INDEX(Stadiums!$B$2:$B$17,MATCH($E92,Stadiums!$A$2:$A$17,0)),"")</f>
        <v>New York New Jersey Stadium</v>
      </c>
      <c r="G92" s="14">
        <v>3</v>
      </c>
      <c r="H92" s="14" t="str">
        <f>IFERROR(INDEX(Teams!$B$2:$B$49,MATCH($G92,Teams!$A$2:$A$49,0)),"")</f>
        <v>Brazil</v>
      </c>
      <c r="I92" s="14">
        <v>22</v>
      </c>
      <c r="J92" s="14" t="str">
        <f>IFERROR(INDEX(Teams!$B$2:$B$49,MATCH($I92,Teams!$A$2:$A$49,0)),"")</f>
        <v>Norway</v>
      </c>
      <c r="K92" s="14">
        <v>1</v>
      </c>
      <c r="L92" s="14">
        <v>2</v>
      </c>
      <c r="M92" s="14">
        <v>22</v>
      </c>
      <c r="N92" s="14" t="str">
        <f>IFERROR(INDEX(Teams!$B$2:$B$49,MATCH($M92,Teams!$A$2:$A$49,0)),"Draw")</f>
        <v>Norway</v>
      </c>
      <c r="O92" s="14" t="s">
        <v>21</v>
      </c>
      <c r="P92" s="14">
        <v>3</v>
      </c>
      <c r="Q92" s="14">
        <v>1</v>
      </c>
    </row>
    <row r="93" spans="1:17" x14ac:dyDescent="0.3">
      <c r="A93" s="14">
        <v>92</v>
      </c>
      <c r="B93" s="14" t="s">
        <v>210</v>
      </c>
      <c r="C93" s="14" t="s">
        <v>36</v>
      </c>
      <c r="D93" s="14"/>
      <c r="E93" s="14">
        <v>3</v>
      </c>
      <c r="F93" s="14" t="str">
        <f>IFERROR(INDEX(Stadiums!$B$2:$B$17,MATCH($E93,Stadiums!$A$2:$A$17,0)),"")</f>
        <v>Mexico City Stadium</v>
      </c>
      <c r="G93" s="14">
        <v>8</v>
      </c>
      <c r="H93" s="14" t="str">
        <f>IFERROR(INDEX(Teams!$B$2:$B$49,MATCH($G93,Teams!$A$2:$A$49,0)),"")</f>
        <v>Mexico</v>
      </c>
      <c r="I93" s="14">
        <v>5</v>
      </c>
      <c r="J93" s="14" t="str">
        <f>IFERROR(INDEX(Teams!$B$2:$B$49,MATCH($I93,Teams!$A$2:$A$49,0)),"")</f>
        <v>England</v>
      </c>
      <c r="K93" s="14">
        <v>2</v>
      </c>
      <c r="L93" s="14">
        <v>3</v>
      </c>
      <c r="M93" s="14">
        <v>5</v>
      </c>
      <c r="N93" s="14" t="str">
        <f>IFERROR(INDEX(Teams!$B$2:$B$49,MATCH($M93,Teams!$A$2:$A$49,0)),"Draw")</f>
        <v>England</v>
      </c>
      <c r="O93" s="14" t="s">
        <v>21</v>
      </c>
      <c r="P93" s="14">
        <v>5</v>
      </c>
      <c r="Q93" s="14">
        <v>1</v>
      </c>
    </row>
    <row r="94" spans="1:17" x14ac:dyDescent="0.3">
      <c r="A94" s="14">
        <v>93</v>
      </c>
      <c r="B94" s="14" t="s">
        <v>211</v>
      </c>
      <c r="C94" s="14" t="s">
        <v>36</v>
      </c>
      <c r="D94" s="14"/>
      <c r="E94" s="14">
        <v>8</v>
      </c>
      <c r="F94" s="14" t="str">
        <f>IFERROR(INDEX(Stadiums!$B$2:$B$17,MATCH($E94,Stadiums!$A$2:$A$17,0)),"")</f>
        <v>Dallas Stadium</v>
      </c>
      <c r="G94" s="14">
        <v>23</v>
      </c>
      <c r="H94" s="14" t="str">
        <f>IFERROR(INDEX(Teams!$B$2:$B$49,MATCH($G94,Teams!$A$2:$A$49,0)),"")</f>
        <v>Portugal</v>
      </c>
      <c r="I94" s="14">
        <v>10</v>
      </c>
      <c r="J94" s="14" t="str">
        <f>IFERROR(INDEX(Teams!$B$2:$B$49,MATCH($I94,Teams!$A$2:$A$49,0)),"")</f>
        <v>Spain</v>
      </c>
      <c r="K94" s="14">
        <v>0</v>
      </c>
      <c r="L94" s="14">
        <v>1</v>
      </c>
      <c r="M94" s="14">
        <v>10</v>
      </c>
      <c r="N94" s="14" t="str">
        <f>IFERROR(INDEX(Teams!$B$2:$B$49,MATCH($M94,Teams!$A$2:$A$49,0)),"Draw")</f>
        <v>Spain</v>
      </c>
      <c r="O94" s="14" t="s">
        <v>21</v>
      </c>
      <c r="P94" s="14">
        <v>1</v>
      </c>
      <c r="Q94" s="14">
        <v>1</v>
      </c>
    </row>
    <row r="95" spans="1:17" x14ac:dyDescent="0.3">
      <c r="A95" s="14">
        <v>94</v>
      </c>
      <c r="B95" s="14" t="s">
        <v>211</v>
      </c>
      <c r="C95" s="14" t="s">
        <v>36</v>
      </c>
      <c r="D95" s="14"/>
      <c r="E95" s="14">
        <v>16</v>
      </c>
      <c r="F95" s="14" t="str">
        <f>IFERROR(INDEX(Stadiums!$B$2:$B$17,MATCH($E95,Stadiums!$A$2:$A$17,0)),"")</f>
        <v>Seattle Stadium</v>
      </c>
      <c r="G95" s="14">
        <v>12</v>
      </c>
      <c r="H95" s="14" t="str">
        <f>IFERROR(INDEX(Teams!$B$2:$B$49,MATCH($G95,Teams!$A$2:$A$49,0)),"")</f>
        <v>USA</v>
      </c>
      <c r="I95" s="14">
        <v>2</v>
      </c>
      <c r="J95" s="14" t="str">
        <f>IFERROR(INDEX(Teams!$B$2:$B$49,MATCH($I95,Teams!$A$2:$A$49,0)),"")</f>
        <v>Belgium</v>
      </c>
      <c r="K95" s="14">
        <v>1</v>
      </c>
      <c r="L95" s="14">
        <v>4</v>
      </c>
      <c r="M95" s="14">
        <v>2</v>
      </c>
      <c r="N95" s="14" t="str">
        <f>IFERROR(INDEX(Teams!$B$2:$B$49,MATCH($M95,Teams!$A$2:$A$49,0)),"Draw")</f>
        <v>Belgium</v>
      </c>
      <c r="O95" s="14" t="s">
        <v>21</v>
      </c>
      <c r="P95" s="14">
        <v>5</v>
      </c>
      <c r="Q95" s="14">
        <v>3</v>
      </c>
    </row>
    <row r="96" spans="1:17" x14ac:dyDescent="0.3">
      <c r="A96" s="14">
        <v>95</v>
      </c>
      <c r="B96" s="14" t="s">
        <v>212</v>
      </c>
      <c r="C96" s="14" t="s">
        <v>36</v>
      </c>
      <c r="D96" s="14"/>
      <c r="E96" s="14">
        <v>6</v>
      </c>
      <c r="F96" s="14" t="str">
        <f>IFERROR(INDEX(Stadiums!$B$2:$B$17,MATCH($E96,Stadiums!$A$2:$A$17,0)),"")</f>
        <v>Atlanta Stadium</v>
      </c>
      <c r="G96" s="14">
        <v>1</v>
      </c>
      <c r="H96" s="14" t="str">
        <f>IFERROR(INDEX(Teams!$B$2:$B$49,MATCH($G96,Teams!$A$2:$A$49,0)),"")</f>
        <v>Argentina</v>
      </c>
      <c r="I96" s="14">
        <v>19</v>
      </c>
      <c r="J96" s="14" t="str">
        <f>IFERROR(INDEX(Teams!$B$2:$B$49,MATCH($I96,Teams!$A$2:$A$49,0)),"")</f>
        <v>Egypt</v>
      </c>
      <c r="K96" s="14">
        <v>3</v>
      </c>
      <c r="L96" s="14">
        <v>2</v>
      </c>
      <c r="M96" s="14">
        <v>1</v>
      </c>
      <c r="N96" s="14" t="str">
        <f>IFERROR(INDEX(Teams!$B$2:$B$49,MATCH($M96,Teams!$A$2:$A$49,0)),"Draw")</f>
        <v>Argentina</v>
      </c>
      <c r="O96" s="14" t="s">
        <v>19</v>
      </c>
      <c r="P96" s="14">
        <v>5</v>
      </c>
      <c r="Q96" s="14">
        <v>1</v>
      </c>
    </row>
    <row r="97" spans="1:17" x14ac:dyDescent="0.3">
      <c r="A97" s="14">
        <v>96</v>
      </c>
      <c r="B97" s="14" t="s">
        <v>212</v>
      </c>
      <c r="C97" s="14" t="s">
        <v>36</v>
      </c>
      <c r="D97" s="14"/>
      <c r="E97" s="14">
        <v>2</v>
      </c>
      <c r="F97" s="14" t="str">
        <f>IFERROR(INDEX(Stadiums!$B$2:$B$17,MATCH($E97,Stadiums!$A$2:$A$17,0)),"")</f>
        <v>BC Place Vancouver</v>
      </c>
      <c r="G97" s="14">
        <v>11</v>
      </c>
      <c r="H97" s="14" t="str">
        <f>IFERROR(INDEX(Teams!$B$2:$B$49,MATCH($G97,Teams!$A$2:$A$49,0)),"")</f>
        <v>Switzerland</v>
      </c>
      <c r="I97" s="14">
        <v>4</v>
      </c>
      <c r="J97" s="14" t="str">
        <f>IFERROR(INDEX(Teams!$B$2:$B$49,MATCH($I97,Teams!$A$2:$A$49,0)),"")</f>
        <v>Colombia</v>
      </c>
      <c r="K97" s="14">
        <v>0</v>
      </c>
      <c r="L97" s="14">
        <v>0</v>
      </c>
      <c r="M97" s="14">
        <v>11</v>
      </c>
      <c r="N97" s="14" t="str">
        <f>IFERROR(INDEX(Teams!$B$2:$B$49,MATCH($M97,Teams!$A$2:$A$49,0)),"Draw")</f>
        <v>Switzerland</v>
      </c>
      <c r="O97" s="14" t="s">
        <v>19</v>
      </c>
      <c r="P97" s="14">
        <v>0</v>
      </c>
      <c r="Q97" s="14">
        <v>0</v>
      </c>
    </row>
    <row r="98" spans="1:17" x14ac:dyDescent="0.3">
      <c r="A98" s="14">
        <v>97</v>
      </c>
      <c r="B98" s="14" t="s">
        <v>213</v>
      </c>
      <c r="C98" s="14" t="s">
        <v>37</v>
      </c>
      <c r="D98" s="14"/>
      <c r="E98" s="14">
        <v>7</v>
      </c>
      <c r="F98" s="14" t="str">
        <f>IFERROR(INDEX(Stadiums!$B$2:$B$17,MATCH($E98,Stadiums!$A$2:$A$17,0)),"")</f>
        <v>Boston Stadium</v>
      </c>
      <c r="G98" s="14">
        <v>6</v>
      </c>
      <c r="H98" s="14" t="str">
        <f>IFERROR(INDEX(Teams!$B$2:$B$49,MATCH($G98,Teams!$A$2:$A$49,0)),"")</f>
        <v>France</v>
      </c>
      <c r="I98" s="14">
        <v>21</v>
      </c>
      <c r="J98" s="14" t="str">
        <f>IFERROR(INDEX(Teams!$B$2:$B$49,MATCH($I98,Teams!$A$2:$A$49,0)),"")</f>
        <v>Morocco</v>
      </c>
      <c r="K98" s="14">
        <v>2</v>
      </c>
      <c r="L98" s="14">
        <v>0</v>
      </c>
      <c r="M98" s="14">
        <v>6</v>
      </c>
      <c r="N98" s="14" t="str">
        <f>IFERROR(INDEX(Teams!$B$2:$B$49,MATCH($M98,Teams!$A$2:$A$49,0)),"Draw")</f>
        <v>France</v>
      </c>
      <c r="O98" s="14" t="s">
        <v>19</v>
      </c>
      <c r="P98" s="14">
        <v>2</v>
      </c>
      <c r="Q98" s="14">
        <v>2</v>
      </c>
    </row>
    <row r="99" spans="1:17" x14ac:dyDescent="0.3">
      <c r="A99" s="14">
        <v>98</v>
      </c>
      <c r="B99" s="14" t="s">
        <v>214</v>
      </c>
      <c r="C99" s="14" t="s">
        <v>37</v>
      </c>
      <c r="D99" s="14"/>
      <c r="E99" s="14">
        <v>11</v>
      </c>
      <c r="F99" s="14" t="str">
        <f>IFERROR(INDEX(Stadiums!$B$2:$B$17,MATCH($E99,Stadiums!$A$2:$A$17,0)),"")</f>
        <v>Los Angeles Stadium</v>
      </c>
      <c r="G99" s="14">
        <v>10</v>
      </c>
      <c r="H99" s="14" t="str">
        <f>IFERROR(INDEX(Teams!$B$2:$B$49,MATCH($G99,Teams!$A$2:$A$49,0)),"")</f>
        <v>Spain</v>
      </c>
      <c r="I99" s="14">
        <v>2</v>
      </c>
      <c r="J99" s="14" t="str">
        <f>IFERROR(INDEX(Teams!$B$2:$B$49,MATCH($I99,Teams!$A$2:$A$49,0)),"")</f>
        <v>Belgium</v>
      </c>
      <c r="K99" s="14">
        <v>2</v>
      </c>
      <c r="L99" s="14">
        <v>1</v>
      </c>
      <c r="M99" s="14">
        <v>10</v>
      </c>
      <c r="N99" s="14" t="str">
        <f>IFERROR(INDEX(Teams!$B$2:$B$49,MATCH($M99,Teams!$A$2:$A$49,0)),"Draw")</f>
        <v>Spain</v>
      </c>
      <c r="O99" s="14" t="s">
        <v>19</v>
      </c>
      <c r="P99" s="14">
        <v>3</v>
      </c>
      <c r="Q99" s="14">
        <v>1</v>
      </c>
    </row>
    <row r="100" spans="1:17" x14ac:dyDescent="0.3">
      <c r="A100" s="14">
        <v>99</v>
      </c>
      <c r="B100" s="14" t="s">
        <v>215</v>
      </c>
      <c r="C100" s="14" t="s">
        <v>37</v>
      </c>
      <c r="D100" s="14"/>
      <c r="E100" s="14">
        <v>12</v>
      </c>
      <c r="F100" s="14" t="str">
        <f>IFERROR(INDEX(Stadiums!$B$2:$B$17,MATCH($E100,Stadiums!$A$2:$A$17,0)),"")</f>
        <v>Miami Stadium</v>
      </c>
      <c r="G100" s="14">
        <v>22</v>
      </c>
      <c r="H100" s="14" t="str">
        <f>IFERROR(INDEX(Teams!$B$2:$B$49,MATCH($G100,Teams!$A$2:$A$49,0)),"")</f>
        <v>Norway</v>
      </c>
      <c r="I100" s="14">
        <v>5</v>
      </c>
      <c r="J100" s="14" t="str">
        <f>IFERROR(INDEX(Teams!$B$2:$B$49,MATCH($I100,Teams!$A$2:$A$49,0)),"")</f>
        <v>England</v>
      </c>
      <c r="K100" s="14">
        <v>1</v>
      </c>
      <c r="L100" s="14">
        <v>2</v>
      </c>
      <c r="M100" s="14">
        <v>5</v>
      </c>
      <c r="N100" s="14" t="str">
        <f>IFERROR(INDEX(Teams!$B$2:$B$49,MATCH($M100,Teams!$A$2:$A$49,0)),"Draw")</f>
        <v>England</v>
      </c>
      <c r="O100" s="14" t="s">
        <v>21</v>
      </c>
      <c r="P100" s="14">
        <v>3</v>
      </c>
      <c r="Q100" s="14">
        <v>1</v>
      </c>
    </row>
    <row r="101" spans="1:17" x14ac:dyDescent="0.3">
      <c r="A101" s="14">
        <v>100</v>
      </c>
      <c r="B101" s="14" t="s">
        <v>215</v>
      </c>
      <c r="C101" s="14" t="s">
        <v>37</v>
      </c>
      <c r="D101" s="14"/>
      <c r="E101" s="14">
        <v>10</v>
      </c>
      <c r="F101" s="14" t="str">
        <f>IFERROR(INDEX(Stadiums!$B$2:$B$17,MATCH($E101,Stadiums!$A$2:$A$17,0)),"")</f>
        <v>Kansas City Stadium</v>
      </c>
      <c r="G101" s="14">
        <v>1</v>
      </c>
      <c r="H101" s="14" t="str">
        <f>IFERROR(INDEX(Teams!$B$2:$B$49,MATCH($G101,Teams!$A$2:$A$49,0)),"")</f>
        <v>Argentina</v>
      </c>
      <c r="I101" s="14">
        <v>11</v>
      </c>
      <c r="J101" s="14" t="str">
        <f>IFERROR(INDEX(Teams!$B$2:$B$49,MATCH($I101,Teams!$A$2:$A$49,0)),"")</f>
        <v>Switzerland</v>
      </c>
      <c r="K101" s="14">
        <v>3</v>
      </c>
      <c r="L101" s="14">
        <v>1</v>
      </c>
      <c r="M101" s="14">
        <v>1</v>
      </c>
      <c r="N101" s="14" t="str">
        <f>IFERROR(INDEX(Teams!$B$2:$B$49,MATCH($M101,Teams!$A$2:$A$49,0)),"Draw")</f>
        <v>Argentina</v>
      </c>
      <c r="O101" s="14" t="s">
        <v>19</v>
      </c>
      <c r="P101" s="14">
        <v>4</v>
      </c>
      <c r="Q101" s="14">
        <v>2</v>
      </c>
    </row>
    <row r="102" spans="1:17" x14ac:dyDescent="0.3">
      <c r="A102" s="14">
        <v>101</v>
      </c>
      <c r="B102" s="14" t="s">
        <v>216</v>
      </c>
      <c r="C102" s="14" t="s">
        <v>38</v>
      </c>
      <c r="D102" s="14"/>
      <c r="E102" s="14">
        <v>8</v>
      </c>
      <c r="F102" s="14" t="str">
        <f>IFERROR(INDEX(Stadiums!$B$2:$B$17,MATCH($E102,Stadiums!$A$2:$A$17,0)),"")</f>
        <v>Dallas Stadium</v>
      </c>
      <c r="G102" s="14">
        <v>6</v>
      </c>
      <c r="H102" s="14" t="str">
        <f>IFERROR(INDEX(Teams!$B$2:$B$49,MATCH($G102,Teams!$A$2:$A$49,0)),"")</f>
        <v>France</v>
      </c>
      <c r="I102" s="14">
        <v>10</v>
      </c>
      <c r="J102" s="14" t="str">
        <f>IFERROR(INDEX(Teams!$B$2:$B$49,MATCH($I102,Teams!$A$2:$A$49,0)),"")</f>
        <v>Spain</v>
      </c>
      <c r="K102" s="14">
        <v>0</v>
      </c>
      <c r="L102" s="14">
        <v>2</v>
      </c>
      <c r="M102" s="14">
        <v>10</v>
      </c>
      <c r="N102" s="14" t="str">
        <f>IFERROR(INDEX(Teams!$B$2:$B$49,MATCH($M102,Teams!$A$2:$A$49,0)),"Draw")</f>
        <v>Spain</v>
      </c>
      <c r="O102" s="14" t="s">
        <v>21</v>
      </c>
      <c r="P102" s="14">
        <v>2</v>
      </c>
      <c r="Q102" s="14">
        <v>2</v>
      </c>
    </row>
    <row r="103" spans="1:17" x14ac:dyDescent="0.3">
      <c r="A103" s="14">
        <v>102</v>
      </c>
      <c r="B103" s="14" t="s">
        <v>217</v>
      </c>
      <c r="C103" s="14" t="s">
        <v>38</v>
      </c>
      <c r="D103" s="14"/>
      <c r="E103" s="14">
        <v>6</v>
      </c>
      <c r="F103" s="14" t="str">
        <f>IFERROR(INDEX(Stadiums!$B$2:$B$17,MATCH($E103,Stadiums!$A$2:$A$17,0)),"")</f>
        <v>Atlanta Stadium</v>
      </c>
      <c r="G103" s="14">
        <v>5</v>
      </c>
      <c r="H103" s="14" t="str">
        <f>IFERROR(INDEX(Teams!$B$2:$B$49,MATCH($G103,Teams!$A$2:$A$49,0)),"")</f>
        <v>England</v>
      </c>
      <c r="I103" s="14">
        <v>1</v>
      </c>
      <c r="J103" s="14" t="str">
        <f>IFERROR(INDEX(Teams!$B$2:$B$49,MATCH($I103,Teams!$A$2:$A$49,0)),"")</f>
        <v>Argentina</v>
      </c>
      <c r="K103" s="14">
        <v>1</v>
      </c>
      <c r="L103" s="14">
        <v>2</v>
      </c>
      <c r="M103" s="14">
        <v>1</v>
      </c>
      <c r="N103" s="14" t="str">
        <f>IFERROR(INDEX(Teams!$B$2:$B$49,MATCH($M103,Teams!$A$2:$A$49,0)),"Draw")</f>
        <v>Argentina</v>
      </c>
      <c r="O103" s="14" t="s">
        <v>21</v>
      </c>
      <c r="P103" s="14">
        <v>3</v>
      </c>
      <c r="Q103" s="14">
        <v>1</v>
      </c>
    </row>
    <row r="104" spans="1:17" x14ac:dyDescent="0.3">
      <c r="A104" s="14">
        <v>103</v>
      </c>
      <c r="B104" s="14" t="s">
        <v>218</v>
      </c>
      <c r="C104" s="14" t="s">
        <v>39</v>
      </c>
      <c r="D104" s="14"/>
      <c r="E104" s="14">
        <v>12</v>
      </c>
      <c r="F104" s="14" t="str">
        <f>IFERROR(INDEX(Stadiums!$B$2:$B$17,MATCH($E104,Stadiums!$A$2:$A$17,0)),"")</f>
        <v>Miami Stadium</v>
      </c>
      <c r="G104" s="14">
        <v>6</v>
      </c>
      <c r="H104" s="14" t="str">
        <f>IFERROR(INDEX(Teams!$B$2:$B$49,MATCH($G104,Teams!$A$2:$A$49,0)),"")</f>
        <v>France</v>
      </c>
      <c r="I104" s="14">
        <v>5</v>
      </c>
      <c r="J104" s="14" t="str">
        <f>IFERROR(INDEX(Teams!$B$2:$B$49,MATCH($I104,Teams!$A$2:$A$49,0)),"")</f>
        <v>England</v>
      </c>
      <c r="K104" s="14">
        <v>4</v>
      </c>
      <c r="L104" s="14">
        <v>6</v>
      </c>
      <c r="M104" s="14">
        <v>5</v>
      </c>
      <c r="N104" s="14" t="str">
        <f>IFERROR(INDEX(Teams!$B$2:$B$49,MATCH($M104,Teams!$A$2:$A$49,0)),"Draw")</f>
        <v>England</v>
      </c>
      <c r="O104" s="14" t="s">
        <v>21</v>
      </c>
      <c r="P104" s="14">
        <v>10</v>
      </c>
      <c r="Q104" s="14">
        <v>2</v>
      </c>
    </row>
    <row r="105" spans="1:17" x14ac:dyDescent="0.3">
      <c r="A105" s="14">
        <v>104</v>
      </c>
      <c r="B105" s="14" t="s">
        <v>219</v>
      </c>
      <c r="C105" s="14" t="s">
        <v>40</v>
      </c>
      <c r="D105" s="14"/>
      <c r="E105" s="14">
        <v>13</v>
      </c>
      <c r="F105" s="14" t="str">
        <f>IFERROR(INDEX(Stadiums!$B$2:$B$17,MATCH($E105,Stadiums!$A$2:$A$17,0)),"")</f>
        <v>New York New Jersey Stadium</v>
      </c>
      <c r="G105" s="14">
        <v>10</v>
      </c>
      <c r="H105" s="14" t="str">
        <f>IFERROR(INDEX(Teams!$B$2:$B$49,MATCH($G105,Teams!$A$2:$A$49,0)),"")</f>
        <v>Spain</v>
      </c>
      <c r="I105" s="14">
        <v>1</v>
      </c>
      <c r="J105" s="14" t="str">
        <f>IFERROR(INDEX(Teams!$B$2:$B$49,MATCH($I105,Teams!$A$2:$A$49,0)),"")</f>
        <v>Argentina</v>
      </c>
      <c r="K105" s="14">
        <v>1</v>
      </c>
      <c r="L105" s="14">
        <v>0</v>
      </c>
      <c r="M105" s="14">
        <v>10</v>
      </c>
      <c r="N105" s="14" t="str">
        <f>IFERROR(INDEX(Teams!$B$2:$B$49,MATCH($M105,Teams!$A$2:$A$49,0)),"Draw")</f>
        <v>Spain</v>
      </c>
      <c r="O105" s="14" t="s">
        <v>19</v>
      </c>
      <c r="P105" s="14">
        <v>1</v>
      </c>
      <c r="Q105" s="14"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0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12" customWidth="1"/>
    <col min="3" max="3" width="13" customWidth="1"/>
    <col min="4" max="4" width="11" customWidth="1"/>
    <col min="5" max="5" width="10" customWidth="1"/>
    <col min="6" max="6" width="8" customWidth="1"/>
    <col min="7" max="7" width="16" customWidth="1"/>
    <col min="8" max="8" width="13" customWidth="1"/>
    <col min="9" max="9" width="15" customWidth="1"/>
    <col min="10" max="10" width="11" customWidth="1"/>
    <col min="11" max="11" width="13" customWidth="1"/>
    <col min="12" max="12" width="11" customWidth="1"/>
    <col min="13" max="13" width="8" customWidth="1"/>
    <col min="14" max="14" width="12" customWidth="1"/>
    <col min="15" max="15" width="10" customWidth="1"/>
    <col min="16" max="16" width="9" customWidth="1"/>
    <col min="17" max="17" width="8" customWidth="1"/>
    <col min="18" max="18" width="11" customWidth="1"/>
    <col min="19" max="20" width="9" customWidth="1"/>
    <col min="21" max="21" width="14" customWidth="1"/>
    <col min="22" max="22" width="8" customWidth="1"/>
    <col min="23" max="23" width="11" customWidth="1"/>
  </cols>
  <sheetData>
    <row r="1" spans="1:23" x14ac:dyDescent="0.3">
      <c r="A1" s="13" t="s">
        <v>172</v>
      </c>
      <c r="B1" s="13" t="s">
        <v>173</v>
      </c>
      <c r="C1" s="13" t="s">
        <v>27</v>
      </c>
      <c r="D1" s="13" t="s">
        <v>62</v>
      </c>
      <c r="E1" s="13" t="s">
        <v>30</v>
      </c>
      <c r="F1" s="13" t="s">
        <v>14</v>
      </c>
      <c r="G1" s="13" t="s">
        <v>60</v>
      </c>
      <c r="H1" s="13" t="s">
        <v>220</v>
      </c>
      <c r="I1" s="13" t="s">
        <v>221</v>
      </c>
      <c r="J1" s="13" t="s">
        <v>222</v>
      </c>
      <c r="K1" s="13" t="s">
        <v>223</v>
      </c>
      <c r="L1" s="13" t="s">
        <v>224</v>
      </c>
      <c r="M1" s="13" t="s">
        <v>225</v>
      </c>
      <c r="N1" s="13" t="s">
        <v>226</v>
      </c>
      <c r="O1" s="13" t="s">
        <v>227</v>
      </c>
      <c r="P1" s="13" t="s">
        <v>228</v>
      </c>
      <c r="Q1" s="13" t="s">
        <v>229</v>
      </c>
      <c r="R1" s="13" t="s">
        <v>230</v>
      </c>
      <c r="S1" s="13" t="s">
        <v>231</v>
      </c>
      <c r="T1" s="13" t="s">
        <v>232</v>
      </c>
      <c r="U1" s="13" t="s">
        <v>185</v>
      </c>
      <c r="V1" s="13" t="s">
        <v>233</v>
      </c>
      <c r="W1" s="13" t="s">
        <v>234</v>
      </c>
    </row>
    <row r="2" spans="1:23" x14ac:dyDescent="0.3">
      <c r="A2" s="14">
        <v>1</v>
      </c>
      <c r="B2" s="14" t="s">
        <v>186</v>
      </c>
      <c r="C2" s="14" t="s">
        <v>34</v>
      </c>
      <c r="D2" s="14" t="s">
        <v>87</v>
      </c>
      <c r="E2" s="14">
        <v>3</v>
      </c>
      <c r="F2" s="14">
        <v>8</v>
      </c>
      <c r="G2" s="14" t="str">
        <f>IFERROR(INDEX(Teams!$B$2:$B$49,MATCH($F2,Teams!$A$2:$A$49,0)),"")</f>
        <v>Mexico</v>
      </c>
      <c r="H2" s="14">
        <v>24</v>
      </c>
      <c r="I2" s="14" t="str">
        <f>IFERROR(INDEX(Teams!$B$2:$B$49,MATCH($H2,Teams!$A$2:$A$49,0)),"")</f>
        <v>South Africa</v>
      </c>
      <c r="J2" s="14">
        <v>2</v>
      </c>
      <c r="K2" s="14">
        <v>0</v>
      </c>
      <c r="L2" s="14" t="s">
        <v>235</v>
      </c>
      <c r="M2" s="14">
        <v>16</v>
      </c>
      <c r="N2" s="14">
        <v>4</v>
      </c>
      <c r="O2" s="14">
        <v>61</v>
      </c>
      <c r="P2" s="14">
        <v>3</v>
      </c>
      <c r="Q2" s="14">
        <v>12</v>
      </c>
      <c r="R2" s="14">
        <v>1</v>
      </c>
      <c r="S2" s="14">
        <v>1</v>
      </c>
      <c r="T2" s="14">
        <v>1</v>
      </c>
      <c r="U2" s="14">
        <v>2</v>
      </c>
      <c r="V2" s="14">
        <v>3</v>
      </c>
      <c r="W2" s="14" t="b">
        <f>TRUE()</f>
        <v>1</v>
      </c>
    </row>
    <row r="3" spans="1:23" x14ac:dyDescent="0.3">
      <c r="A3" s="14">
        <v>2</v>
      </c>
      <c r="B3" s="14" t="s">
        <v>186</v>
      </c>
      <c r="C3" s="14" t="s">
        <v>34</v>
      </c>
      <c r="D3" s="14" t="s">
        <v>87</v>
      </c>
      <c r="E3" s="14">
        <v>4</v>
      </c>
      <c r="F3" s="14">
        <v>31</v>
      </c>
      <c r="G3" s="14" t="str">
        <f>IFERROR(INDEX(Teams!$B$2:$B$49,MATCH($F3,Teams!$A$2:$A$49,0)),"")</f>
        <v>Korea Republic</v>
      </c>
      <c r="H3" s="14">
        <v>38</v>
      </c>
      <c r="I3" s="14" t="str">
        <f>IFERROR(INDEX(Teams!$B$2:$B$49,MATCH($H3,Teams!$A$2:$A$49,0)),"")</f>
        <v>Czechia</v>
      </c>
      <c r="J3" s="14">
        <v>2</v>
      </c>
      <c r="K3" s="14">
        <v>1</v>
      </c>
      <c r="L3" s="14" t="s">
        <v>235</v>
      </c>
      <c r="M3" s="14">
        <v>15</v>
      </c>
      <c r="N3" s="14">
        <v>6</v>
      </c>
      <c r="O3" s="14">
        <v>62</v>
      </c>
      <c r="P3" s="14">
        <v>4</v>
      </c>
      <c r="Q3" s="14">
        <v>9</v>
      </c>
      <c r="R3" s="14">
        <v>1</v>
      </c>
      <c r="S3" s="14">
        <v>0</v>
      </c>
      <c r="T3" s="14">
        <v>2</v>
      </c>
      <c r="U3" s="14">
        <v>1</v>
      </c>
      <c r="V3" s="14">
        <v>3</v>
      </c>
      <c r="W3" s="14" t="b">
        <f>FALSE()</f>
        <v>0</v>
      </c>
    </row>
    <row r="4" spans="1:23" x14ac:dyDescent="0.3">
      <c r="A4" s="14">
        <v>3</v>
      </c>
      <c r="B4" s="14" t="s">
        <v>187</v>
      </c>
      <c r="C4" s="14" t="s">
        <v>34</v>
      </c>
      <c r="D4" s="14" t="s">
        <v>96</v>
      </c>
      <c r="E4" s="14">
        <v>1</v>
      </c>
      <c r="F4" s="14">
        <v>16</v>
      </c>
      <c r="G4" s="14" t="str">
        <f>IFERROR(INDEX(Teams!$B$2:$B$49,MATCH($F4,Teams!$A$2:$A$49,0)),"")</f>
        <v>Canada</v>
      </c>
      <c r="H4" s="14">
        <v>26</v>
      </c>
      <c r="I4" s="14" t="str">
        <f>IFERROR(INDEX(Teams!$B$2:$B$49,MATCH($H4,Teams!$A$2:$A$49,0)),"")</f>
        <v>Bosnia and Herzegovina</v>
      </c>
      <c r="J4" s="14">
        <v>1</v>
      </c>
      <c r="K4" s="14">
        <v>1</v>
      </c>
      <c r="L4" s="14" t="s">
        <v>236</v>
      </c>
      <c r="M4" s="14">
        <v>13</v>
      </c>
      <c r="N4" s="14">
        <v>4</v>
      </c>
      <c r="O4" s="14">
        <v>61</v>
      </c>
      <c r="P4" s="14">
        <v>9</v>
      </c>
      <c r="Q4" s="14">
        <v>10</v>
      </c>
      <c r="R4" s="14">
        <v>2</v>
      </c>
      <c r="S4" s="14">
        <v>0</v>
      </c>
      <c r="T4" s="14">
        <v>1</v>
      </c>
      <c r="U4" s="14">
        <v>0</v>
      </c>
      <c r="V4" s="14">
        <v>1</v>
      </c>
      <c r="W4" s="14" t="b">
        <f>FALSE()</f>
        <v>0</v>
      </c>
    </row>
    <row r="5" spans="1:23" x14ac:dyDescent="0.3">
      <c r="A5" s="14">
        <v>4</v>
      </c>
      <c r="B5" s="14" t="s">
        <v>187</v>
      </c>
      <c r="C5" s="14" t="s">
        <v>34</v>
      </c>
      <c r="D5" s="14" t="s">
        <v>98</v>
      </c>
      <c r="E5" s="14">
        <v>11</v>
      </c>
      <c r="F5" s="14">
        <v>12</v>
      </c>
      <c r="G5" s="14" t="str">
        <f>IFERROR(INDEX(Teams!$B$2:$B$49,MATCH($F5,Teams!$A$2:$A$49,0)),"")</f>
        <v>USA</v>
      </c>
      <c r="H5" s="14">
        <v>32</v>
      </c>
      <c r="I5" s="14" t="str">
        <f>IFERROR(INDEX(Teams!$B$2:$B$49,MATCH($H5,Teams!$A$2:$A$49,0)),"")</f>
        <v>Paraguay</v>
      </c>
      <c r="J5" s="14">
        <v>4</v>
      </c>
      <c r="K5" s="14">
        <v>1</v>
      </c>
      <c r="L5" s="14" t="s">
        <v>235</v>
      </c>
      <c r="M5" s="14">
        <v>16</v>
      </c>
      <c r="N5" s="14">
        <v>6</v>
      </c>
      <c r="O5" s="14">
        <v>65</v>
      </c>
      <c r="P5" s="14">
        <v>3</v>
      </c>
      <c r="Q5" s="14">
        <v>13</v>
      </c>
      <c r="R5" s="14">
        <v>1</v>
      </c>
      <c r="S5" s="14">
        <v>0</v>
      </c>
      <c r="T5" s="14">
        <v>2</v>
      </c>
      <c r="U5" s="14">
        <v>3</v>
      </c>
      <c r="V5" s="14">
        <v>3</v>
      </c>
      <c r="W5" s="14" t="b">
        <f>FALSE()</f>
        <v>0</v>
      </c>
    </row>
    <row r="6" spans="1:23" x14ac:dyDescent="0.3">
      <c r="A6" s="14">
        <v>5</v>
      </c>
      <c r="B6" s="14" t="s">
        <v>188</v>
      </c>
      <c r="C6" s="14" t="s">
        <v>34</v>
      </c>
      <c r="D6" s="14" t="s">
        <v>72</v>
      </c>
      <c r="E6" s="14">
        <v>7</v>
      </c>
      <c r="F6" s="14">
        <v>39</v>
      </c>
      <c r="G6" s="14" t="str">
        <f>IFERROR(INDEX(Teams!$B$2:$B$49,MATCH($F6,Teams!$A$2:$A$49,0)),"")</f>
        <v>Haiti</v>
      </c>
      <c r="H6" s="14">
        <v>33</v>
      </c>
      <c r="I6" s="14" t="str">
        <f>IFERROR(INDEX(Teams!$B$2:$B$49,MATCH($H6,Teams!$A$2:$A$49,0)),"")</f>
        <v>Scotland</v>
      </c>
      <c r="J6" s="14">
        <v>0</v>
      </c>
      <c r="K6" s="14">
        <v>1</v>
      </c>
      <c r="L6" s="14" t="s">
        <v>237</v>
      </c>
      <c r="M6" s="14">
        <v>15</v>
      </c>
      <c r="N6" s="14">
        <v>2</v>
      </c>
      <c r="O6" s="14">
        <v>54</v>
      </c>
      <c r="P6" s="14">
        <v>4</v>
      </c>
      <c r="Q6" s="14">
        <v>23</v>
      </c>
      <c r="R6" s="14">
        <v>1</v>
      </c>
      <c r="S6" s="14">
        <v>0</v>
      </c>
      <c r="T6" s="14">
        <v>3</v>
      </c>
      <c r="U6" s="14">
        <v>-1</v>
      </c>
      <c r="V6" s="14">
        <v>0</v>
      </c>
      <c r="W6" s="14" t="b">
        <f>FALSE()</f>
        <v>0</v>
      </c>
    </row>
    <row r="7" spans="1:23" x14ac:dyDescent="0.3">
      <c r="A7" s="14">
        <v>6</v>
      </c>
      <c r="B7" s="14" t="s">
        <v>188</v>
      </c>
      <c r="C7" s="14" t="s">
        <v>34</v>
      </c>
      <c r="D7" s="14" t="s">
        <v>98</v>
      </c>
      <c r="E7" s="14">
        <v>2</v>
      </c>
      <c r="F7" s="14">
        <v>13</v>
      </c>
      <c r="G7" s="14" t="str">
        <f>IFERROR(INDEX(Teams!$B$2:$B$49,MATCH($F7,Teams!$A$2:$A$49,0)),"")</f>
        <v>Australia</v>
      </c>
      <c r="H7" s="14">
        <v>47</v>
      </c>
      <c r="I7" s="14" t="str">
        <f>IFERROR(INDEX(Teams!$B$2:$B$49,MATCH($H7,Teams!$A$2:$A$49,0)),"")</f>
        <v>Türkiye</v>
      </c>
      <c r="J7" s="14">
        <v>2</v>
      </c>
      <c r="K7" s="14">
        <v>0</v>
      </c>
      <c r="L7" s="14" t="s">
        <v>235</v>
      </c>
      <c r="M7" s="14">
        <v>9</v>
      </c>
      <c r="N7" s="14">
        <v>4</v>
      </c>
      <c r="O7" s="14">
        <v>28</v>
      </c>
      <c r="P7" s="14">
        <v>5</v>
      </c>
      <c r="Q7" s="14">
        <v>12</v>
      </c>
      <c r="R7" s="14">
        <v>0</v>
      </c>
      <c r="S7" s="14">
        <v>0</v>
      </c>
      <c r="T7" s="14">
        <v>1</v>
      </c>
      <c r="U7" s="14">
        <v>2</v>
      </c>
      <c r="V7" s="14">
        <v>3</v>
      </c>
      <c r="W7" s="14" t="b">
        <f>TRUE()</f>
        <v>1</v>
      </c>
    </row>
    <row r="8" spans="1:23" x14ac:dyDescent="0.3">
      <c r="A8" s="14">
        <v>7</v>
      </c>
      <c r="B8" s="14" t="s">
        <v>188</v>
      </c>
      <c r="C8" s="14" t="s">
        <v>34</v>
      </c>
      <c r="D8" s="14" t="s">
        <v>72</v>
      </c>
      <c r="E8" s="14">
        <v>13</v>
      </c>
      <c r="F8" s="14">
        <v>3</v>
      </c>
      <c r="G8" s="14" t="str">
        <f>IFERROR(INDEX(Teams!$B$2:$B$49,MATCH($F8,Teams!$A$2:$A$49,0)),"")</f>
        <v>Brazil</v>
      </c>
      <c r="H8" s="14">
        <v>21</v>
      </c>
      <c r="I8" s="14" t="str">
        <f>IFERROR(INDEX(Teams!$B$2:$B$49,MATCH($H8,Teams!$A$2:$A$49,0)),"")</f>
        <v>Morocco</v>
      </c>
      <c r="J8" s="14">
        <v>1</v>
      </c>
      <c r="K8" s="14">
        <v>1</v>
      </c>
      <c r="L8" s="14" t="s">
        <v>236</v>
      </c>
      <c r="M8" s="14">
        <v>12</v>
      </c>
      <c r="N8" s="14">
        <v>5</v>
      </c>
      <c r="O8" s="14">
        <v>51</v>
      </c>
      <c r="P8" s="14">
        <v>6</v>
      </c>
      <c r="Q8" s="14">
        <v>16</v>
      </c>
      <c r="R8" s="14">
        <v>2</v>
      </c>
      <c r="S8" s="14">
        <v>0</v>
      </c>
      <c r="T8" s="14">
        <v>0</v>
      </c>
      <c r="U8" s="14">
        <v>0</v>
      </c>
      <c r="V8" s="14">
        <v>1</v>
      </c>
      <c r="W8" s="14" t="b">
        <f>FALSE()</f>
        <v>0</v>
      </c>
    </row>
    <row r="9" spans="1:23" x14ac:dyDescent="0.3">
      <c r="A9" s="14">
        <v>8</v>
      </c>
      <c r="B9" s="14" t="s">
        <v>188</v>
      </c>
      <c r="C9" s="14" t="s">
        <v>34</v>
      </c>
      <c r="D9" s="14" t="s">
        <v>96</v>
      </c>
      <c r="E9" s="14">
        <v>15</v>
      </c>
      <c r="F9" s="14">
        <v>44</v>
      </c>
      <c r="G9" s="14" t="str">
        <f>IFERROR(INDEX(Teams!$B$2:$B$49,MATCH($F9,Teams!$A$2:$A$49,0)),"")</f>
        <v>Qatar</v>
      </c>
      <c r="H9" s="14">
        <v>11</v>
      </c>
      <c r="I9" s="14" t="str">
        <f>IFERROR(INDEX(Teams!$B$2:$B$49,MATCH($H9,Teams!$A$2:$A$49,0)),"")</f>
        <v>Switzerland</v>
      </c>
      <c r="J9" s="14">
        <v>1</v>
      </c>
      <c r="K9" s="14">
        <v>1</v>
      </c>
      <c r="L9" s="14" t="s">
        <v>236</v>
      </c>
      <c r="M9" s="14">
        <v>6</v>
      </c>
      <c r="N9" s="14">
        <v>3</v>
      </c>
      <c r="O9" s="14">
        <v>32</v>
      </c>
      <c r="P9" s="14">
        <v>3</v>
      </c>
      <c r="Q9" s="14">
        <v>12</v>
      </c>
      <c r="R9" s="14">
        <v>2</v>
      </c>
      <c r="S9" s="14">
        <v>0</v>
      </c>
      <c r="T9" s="14">
        <v>0</v>
      </c>
      <c r="U9" s="14">
        <v>0</v>
      </c>
      <c r="V9" s="14">
        <v>1</v>
      </c>
      <c r="W9" s="14" t="b">
        <f>FALSE()</f>
        <v>0</v>
      </c>
    </row>
    <row r="10" spans="1:23" x14ac:dyDescent="0.3">
      <c r="A10" s="14">
        <v>9</v>
      </c>
      <c r="B10" s="14" t="s">
        <v>189</v>
      </c>
      <c r="C10" s="14" t="s">
        <v>34</v>
      </c>
      <c r="D10" s="14" t="s">
        <v>84</v>
      </c>
      <c r="E10" s="14">
        <v>14</v>
      </c>
      <c r="F10" s="14">
        <v>17</v>
      </c>
      <c r="G10" s="14" t="str">
        <f>IFERROR(INDEX(Teams!$B$2:$B$49,MATCH($F10,Teams!$A$2:$A$49,0)),"")</f>
        <v>Côte d'Ivoire</v>
      </c>
      <c r="H10" s="14">
        <v>28</v>
      </c>
      <c r="I10" s="14" t="str">
        <f>IFERROR(INDEX(Teams!$B$2:$B$49,MATCH($H10,Teams!$A$2:$A$49,0)),"")</f>
        <v>Ecuador</v>
      </c>
      <c r="J10" s="14">
        <v>1</v>
      </c>
      <c r="K10" s="14">
        <v>0</v>
      </c>
      <c r="L10" s="14" t="s">
        <v>235</v>
      </c>
      <c r="M10" s="14">
        <v>15</v>
      </c>
      <c r="N10" s="14">
        <v>4</v>
      </c>
      <c r="O10" s="14">
        <v>48</v>
      </c>
      <c r="P10" s="14">
        <v>3</v>
      </c>
      <c r="Q10" s="14">
        <v>10</v>
      </c>
      <c r="R10" s="14">
        <v>3</v>
      </c>
      <c r="S10" s="14">
        <v>0</v>
      </c>
      <c r="T10" s="14">
        <v>0</v>
      </c>
      <c r="U10" s="14">
        <v>1</v>
      </c>
      <c r="V10" s="14">
        <v>3</v>
      </c>
      <c r="W10" s="14" t="b">
        <f>TRUE()</f>
        <v>1</v>
      </c>
    </row>
    <row r="11" spans="1:23" x14ac:dyDescent="0.3">
      <c r="A11" s="14">
        <v>10</v>
      </c>
      <c r="B11" s="14" t="s">
        <v>189</v>
      </c>
      <c r="C11" s="14" t="s">
        <v>34</v>
      </c>
      <c r="D11" s="14" t="s">
        <v>84</v>
      </c>
      <c r="E11" s="14">
        <v>9</v>
      </c>
      <c r="F11" s="14">
        <v>7</v>
      </c>
      <c r="G11" s="14" t="str">
        <f>IFERROR(INDEX(Teams!$B$2:$B$49,MATCH($F11,Teams!$A$2:$A$49,0)),"")</f>
        <v>Germany</v>
      </c>
      <c r="H11" s="14">
        <v>37</v>
      </c>
      <c r="I11" s="14" t="str">
        <f>IFERROR(INDEX(Teams!$B$2:$B$49,MATCH($H11,Teams!$A$2:$A$49,0)),"")</f>
        <v>Curaçao</v>
      </c>
      <c r="J11" s="14">
        <v>7</v>
      </c>
      <c r="K11" s="14">
        <v>1</v>
      </c>
      <c r="L11" s="14" t="s">
        <v>235</v>
      </c>
      <c r="M11" s="14">
        <v>26</v>
      </c>
      <c r="N11" s="14">
        <v>12</v>
      </c>
      <c r="O11" s="14">
        <v>65</v>
      </c>
      <c r="P11" s="14">
        <v>8</v>
      </c>
      <c r="Q11" s="14">
        <v>18</v>
      </c>
      <c r="R11" s="14">
        <v>0</v>
      </c>
      <c r="S11" s="14">
        <v>0</v>
      </c>
      <c r="T11" s="14">
        <v>0</v>
      </c>
      <c r="U11" s="14">
        <v>6</v>
      </c>
      <c r="V11" s="14">
        <v>3</v>
      </c>
      <c r="W11" s="14" t="b">
        <f>FALSE()</f>
        <v>0</v>
      </c>
    </row>
    <row r="12" spans="1:23" x14ac:dyDescent="0.3">
      <c r="A12" s="14">
        <v>11</v>
      </c>
      <c r="B12" s="14" t="s">
        <v>189</v>
      </c>
      <c r="C12" s="14" t="s">
        <v>34</v>
      </c>
      <c r="D12" s="14" t="s">
        <v>90</v>
      </c>
      <c r="E12" s="14">
        <v>8</v>
      </c>
      <c r="F12" s="14">
        <v>9</v>
      </c>
      <c r="G12" s="14" t="str">
        <f>IFERROR(INDEX(Teams!$B$2:$B$49,MATCH($F12,Teams!$A$2:$A$49,0)),"")</f>
        <v>Netherlands</v>
      </c>
      <c r="H12" s="14">
        <v>20</v>
      </c>
      <c r="I12" s="14" t="str">
        <f>IFERROR(INDEX(Teams!$B$2:$B$49,MATCH($H12,Teams!$A$2:$A$49,0)),"")</f>
        <v>Japan</v>
      </c>
      <c r="J12" s="14">
        <v>2</v>
      </c>
      <c r="K12" s="14">
        <v>2</v>
      </c>
      <c r="L12" s="14" t="s">
        <v>236</v>
      </c>
      <c r="M12" s="14">
        <v>10</v>
      </c>
      <c r="N12" s="14">
        <v>6</v>
      </c>
      <c r="O12" s="14">
        <v>60</v>
      </c>
      <c r="P12" s="14">
        <v>5</v>
      </c>
      <c r="Q12" s="14">
        <v>7</v>
      </c>
      <c r="R12" s="14">
        <v>3</v>
      </c>
      <c r="S12" s="14">
        <v>0</v>
      </c>
      <c r="T12" s="14">
        <v>1</v>
      </c>
      <c r="U12" s="14">
        <v>0</v>
      </c>
      <c r="V12" s="14">
        <v>1</v>
      </c>
      <c r="W12" s="14" t="b">
        <f>FALSE()</f>
        <v>0</v>
      </c>
    </row>
    <row r="13" spans="1:23" x14ac:dyDescent="0.3">
      <c r="A13" s="14">
        <v>12</v>
      </c>
      <c r="B13" s="14" t="s">
        <v>189</v>
      </c>
      <c r="C13" s="14" t="s">
        <v>34</v>
      </c>
      <c r="D13" s="14" t="s">
        <v>90</v>
      </c>
      <c r="E13" s="14">
        <v>5</v>
      </c>
      <c r="F13" s="14">
        <v>35</v>
      </c>
      <c r="G13" s="14" t="str">
        <f>IFERROR(INDEX(Teams!$B$2:$B$49,MATCH($F13,Teams!$A$2:$A$49,0)),"")</f>
        <v>Sweden</v>
      </c>
      <c r="H13" s="14">
        <v>46</v>
      </c>
      <c r="I13" s="14" t="str">
        <f>IFERROR(INDEX(Teams!$B$2:$B$49,MATCH($H13,Teams!$A$2:$A$49,0)),"")</f>
        <v>Tunisia</v>
      </c>
      <c r="J13" s="14">
        <v>5</v>
      </c>
      <c r="K13" s="14">
        <v>1</v>
      </c>
      <c r="L13" s="14" t="s">
        <v>235</v>
      </c>
      <c r="M13" s="14">
        <v>13</v>
      </c>
      <c r="N13" s="14">
        <v>7</v>
      </c>
      <c r="O13" s="14">
        <v>49</v>
      </c>
      <c r="P13" s="14">
        <v>4</v>
      </c>
      <c r="Q13" s="14">
        <v>10</v>
      </c>
      <c r="R13" s="14">
        <v>0</v>
      </c>
      <c r="S13" s="14">
        <v>0</v>
      </c>
      <c r="T13" s="14">
        <v>3</v>
      </c>
      <c r="U13" s="14">
        <v>4</v>
      </c>
      <c r="V13" s="14">
        <v>3</v>
      </c>
      <c r="W13" s="14" t="b">
        <f>FALSE()</f>
        <v>0</v>
      </c>
    </row>
    <row r="14" spans="1:23" x14ac:dyDescent="0.3">
      <c r="A14" s="14">
        <v>13</v>
      </c>
      <c r="B14" s="14" t="s">
        <v>190</v>
      </c>
      <c r="C14" s="14" t="s">
        <v>34</v>
      </c>
      <c r="D14" s="14" t="s">
        <v>93</v>
      </c>
      <c r="E14" s="14">
        <v>12</v>
      </c>
      <c r="F14" s="14">
        <v>45</v>
      </c>
      <c r="G14" s="14" t="str">
        <f>IFERROR(INDEX(Teams!$B$2:$B$49,MATCH($F14,Teams!$A$2:$A$49,0)),"")</f>
        <v>Saudi Arabia</v>
      </c>
      <c r="H14" s="14">
        <v>36</v>
      </c>
      <c r="I14" s="14" t="str">
        <f>IFERROR(INDEX(Teams!$B$2:$B$49,MATCH($H14,Teams!$A$2:$A$49,0)),"")</f>
        <v>Uruguay</v>
      </c>
      <c r="J14" s="14">
        <v>1</v>
      </c>
      <c r="K14" s="14">
        <v>1</v>
      </c>
      <c r="L14" s="14" t="s">
        <v>236</v>
      </c>
      <c r="M14" s="14">
        <v>7</v>
      </c>
      <c r="N14" s="14">
        <v>3</v>
      </c>
      <c r="O14" s="14">
        <v>33</v>
      </c>
      <c r="P14" s="14">
        <v>4</v>
      </c>
      <c r="Q14" s="14">
        <v>11</v>
      </c>
      <c r="R14" s="14">
        <v>1</v>
      </c>
      <c r="S14" s="14">
        <v>0</v>
      </c>
      <c r="T14" s="14">
        <v>0</v>
      </c>
      <c r="U14" s="14">
        <v>0</v>
      </c>
      <c r="V14" s="14">
        <v>1</v>
      </c>
      <c r="W14" s="14" t="b">
        <f>FALSE()</f>
        <v>0</v>
      </c>
    </row>
    <row r="15" spans="1:23" x14ac:dyDescent="0.3">
      <c r="A15" s="14">
        <v>14</v>
      </c>
      <c r="B15" s="14" t="s">
        <v>190</v>
      </c>
      <c r="C15" s="14" t="s">
        <v>34</v>
      </c>
      <c r="D15" s="14" t="s">
        <v>93</v>
      </c>
      <c r="E15" s="14">
        <v>6</v>
      </c>
      <c r="F15" s="14">
        <v>10</v>
      </c>
      <c r="G15" s="14" t="str">
        <f>IFERROR(INDEX(Teams!$B$2:$B$49,MATCH($F15,Teams!$A$2:$A$49,0)),"")</f>
        <v>Spain</v>
      </c>
      <c r="H15" s="14">
        <v>15</v>
      </c>
      <c r="I15" s="14" t="str">
        <f>IFERROR(INDEX(Teams!$B$2:$B$49,MATCH($H15,Teams!$A$2:$A$49,0)),"")</f>
        <v>Cabo Verde</v>
      </c>
      <c r="J15" s="14">
        <v>0</v>
      </c>
      <c r="K15" s="14">
        <v>0</v>
      </c>
      <c r="L15" s="14" t="s">
        <v>236</v>
      </c>
      <c r="M15" s="14">
        <v>27</v>
      </c>
      <c r="N15" s="14">
        <v>7</v>
      </c>
      <c r="O15" s="14">
        <v>74</v>
      </c>
      <c r="P15" s="14">
        <v>11</v>
      </c>
      <c r="Q15" s="14">
        <v>10</v>
      </c>
      <c r="R15" s="14">
        <v>1</v>
      </c>
      <c r="S15" s="14">
        <v>0</v>
      </c>
      <c r="T15" s="14">
        <v>2</v>
      </c>
      <c r="U15" s="14">
        <v>0</v>
      </c>
      <c r="V15" s="14">
        <v>1</v>
      </c>
      <c r="W15" s="14" t="b">
        <f>TRUE()</f>
        <v>1</v>
      </c>
    </row>
    <row r="16" spans="1:23" x14ac:dyDescent="0.3">
      <c r="A16" s="14">
        <v>15</v>
      </c>
      <c r="B16" s="14" t="s">
        <v>190</v>
      </c>
      <c r="C16" s="14" t="s">
        <v>34</v>
      </c>
      <c r="D16" s="14" t="s">
        <v>69</v>
      </c>
      <c r="E16" s="14">
        <v>11</v>
      </c>
      <c r="F16" s="14">
        <v>30</v>
      </c>
      <c r="G16" s="14" t="str">
        <f>IFERROR(INDEX(Teams!$B$2:$B$49,MATCH($F16,Teams!$A$2:$A$49,0)),"")</f>
        <v>IR Iran</v>
      </c>
      <c r="H16" s="14">
        <v>42</v>
      </c>
      <c r="I16" s="14" t="str">
        <f>IFERROR(INDEX(Teams!$B$2:$B$49,MATCH($H16,Teams!$A$2:$A$49,0)),"")</f>
        <v>New Zealand</v>
      </c>
      <c r="J16" s="14">
        <v>2</v>
      </c>
      <c r="K16" s="14">
        <v>2</v>
      </c>
      <c r="L16" s="14" t="s">
        <v>236</v>
      </c>
      <c r="M16" s="14">
        <v>17</v>
      </c>
      <c r="N16" s="14">
        <v>4</v>
      </c>
      <c r="O16" s="14">
        <v>49</v>
      </c>
      <c r="P16" s="14">
        <v>4</v>
      </c>
      <c r="Q16" s="14">
        <v>10</v>
      </c>
      <c r="R16" s="14">
        <v>1</v>
      </c>
      <c r="S16" s="14">
        <v>0</v>
      </c>
      <c r="T16" s="14">
        <v>2</v>
      </c>
      <c r="U16" s="14">
        <v>0</v>
      </c>
      <c r="V16" s="14">
        <v>1</v>
      </c>
      <c r="W16" s="14" t="b">
        <f>FALSE()</f>
        <v>0</v>
      </c>
    </row>
    <row r="17" spans="1:23" x14ac:dyDescent="0.3">
      <c r="A17" s="14">
        <v>16</v>
      </c>
      <c r="B17" s="14" t="s">
        <v>190</v>
      </c>
      <c r="C17" s="14" t="s">
        <v>34</v>
      </c>
      <c r="D17" s="14" t="s">
        <v>69</v>
      </c>
      <c r="E17" s="14">
        <v>16</v>
      </c>
      <c r="F17" s="14">
        <v>2</v>
      </c>
      <c r="G17" s="14" t="str">
        <f>IFERROR(INDEX(Teams!$B$2:$B$49,MATCH($F17,Teams!$A$2:$A$49,0)),"")</f>
        <v>Belgium</v>
      </c>
      <c r="H17" s="14">
        <v>19</v>
      </c>
      <c r="I17" s="14" t="str">
        <f>IFERROR(INDEX(Teams!$B$2:$B$49,MATCH($H17,Teams!$A$2:$A$49,0)),"")</f>
        <v>Egypt</v>
      </c>
      <c r="J17" s="14">
        <v>1</v>
      </c>
      <c r="K17" s="14">
        <v>1</v>
      </c>
      <c r="L17" s="14" t="s">
        <v>236</v>
      </c>
      <c r="M17" s="14">
        <v>15</v>
      </c>
      <c r="N17" s="14">
        <v>3</v>
      </c>
      <c r="O17" s="14">
        <v>54</v>
      </c>
      <c r="P17" s="14">
        <v>2</v>
      </c>
      <c r="Q17" s="14">
        <v>15</v>
      </c>
      <c r="R17" s="14">
        <v>2</v>
      </c>
      <c r="S17" s="14">
        <v>0</v>
      </c>
      <c r="T17" s="14">
        <v>0</v>
      </c>
      <c r="U17" s="14">
        <v>0</v>
      </c>
      <c r="V17" s="14">
        <v>1</v>
      </c>
      <c r="W17" s="14" t="b">
        <f>FALSE()</f>
        <v>0</v>
      </c>
    </row>
    <row r="18" spans="1:23" x14ac:dyDescent="0.3">
      <c r="A18" s="14">
        <v>17</v>
      </c>
      <c r="B18" s="14" t="s">
        <v>191</v>
      </c>
      <c r="C18" s="14" t="s">
        <v>34</v>
      </c>
      <c r="D18" s="14" t="s">
        <v>81</v>
      </c>
      <c r="E18" s="14">
        <v>13</v>
      </c>
      <c r="F18" s="14">
        <v>6</v>
      </c>
      <c r="G18" s="14" t="str">
        <f>IFERROR(INDEX(Teams!$B$2:$B$49,MATCH($F18,Teams!$A$2:$A$49,0)),"")</f>
        <v>France</v>
      </c>
      <c r="H18" s="14">
        <v>34</v>
      </c>
      <c r="I18" s="14" t="str">
        <f>IFERROR(INDEX(Teams!$B$2:$B$49,MATCH($H18,Teams!$A$2:$A$49,0)),"")</f>
        <v>Senegal</v>
      </c>
      <c r="J18" s="14">
        <v>3</v>
      </c>
      <c r="K18" s="14">
        <v>1</v>
      </c>
      <c r="L18" s="14" t="s">
        <v>235</v>
      </c>
      <c r="M18" s="14">
        <v>11</v>
      </c>
      <c r="N18" s="14">
        <v>8</v>
      </c>
      <c r="O18" s="14">
        <v>53</v>
      </c>
      <c r="P18" s="14">
        <v>6</v>
      </c>
      <c r="Q18" s="14">
        <v>5</v>
      </c>
      <c r="R18" s="14">
        <v>0</v>
      </c>
      <c r="S18" s="14">
        <v>0</v>
      </c>
      <c r="T18" s="14">
        <v>1</v>
      </c>
      <c r="U18" s="14">
        <v>2</v>
      </c>
      <c r="V18" s="14">
        <v>3</v>
      </c>
      <c r="W18" s="14" t="b">
        <f>FALSE()</f>
        <v>0</v>
      </c>
    </row>
    <row r="19" spans="1:23" x14ac:dyDescent="0.3">
      <c r="A19" s="14">
        <v>18</v>
      </c>
      <c r="B19" s="14" t="s">
        <v>191</v>
      </c>
      <c r="C19" s="14" t="s">
        <v>34</v>
      </c>
      <c r="D19" s="14" t="s">
        <v>81</v>
      </c>
      <c r="E19" s="14">
        <v>7</v>
      </c>
      <c r="F19" s="14">
        <v>40</v>
      </c>
      <c r="G19" s="14" t="str">
        <f>IFERROR(INDEX(Teams!$B$2:$B$49,MATCH($F19,Teams!$A$2:$A$49,0)),"")</f>
        <v>Iraq</v>
      </c>
      <c r="H19" s="14">
        <v>22</v>
      </c>
      <c r="I19" s="14" t="str">
        <f>IFERROR(INDEX(Teams!$B$2:$B$49,MATCH($H19,Teams!$A$2:$A$49,0)),"")</f>
        <v>Norway</v>
      </c>
      <c r="J19" s="14">
        <v>1</v>
      </c>
      <c r="K19" s="14">
        <v>4</v>
      </c>
      <c r="L19" s="14" t="s">
        <v>237</v>
      </c>
      <c r="M19" s="14">
        <v>11</v>
      </c>
      <c r="N19" s="14">
        <v>1</v>
      </c>
      <c r="O19" s="14">
        <v>39</v>
      </c>
      <c r="P19" s="14">
        <v>2</v>
      </c>
      <c r="Q19" s="14">
        <v>12</v>
      </c>
      <c r="R19" s="14">
        <v>1</v>
      </c>
      <c r="S19" s="14">
        <v>0</v>
      </c>
      <c r="T19" s="14">
        <v>1</v>
      </c>
      <c r="U19" s="14">
        <v>-3</v>
      </c>
      <c r="V19" s="14">
        <v>0</v>
      </c>
      <c r="W19" s="14" t="b">
        <f>FALSE()</f>
        <v>0</v>
      </c>
    </row>
    <row r="20" spans="1:23" x14ac:dyDescent="0.3">
      <c r="A20" s="14">
        <v>19</v>
      </c>
      <c r="B20" s="14" t="s">
        <v>191</v>
      </c>
      <c r="C20" s="14" t="s">
        <v>34</v>
      </c>
      <c r="D20" s="14" t="s">
        <v>66</v>
      </c>
      <c r="E20" s="14">
        <v>10</v>
      </c>
      <c r="F20" s="14">
        <v>1</v>
      </c>
      <c r="G20" s="14" t="str">
        <f>IFERROR(INDEX(Teams!$B$2:$B$49,MATCH($F20,Teams!$A$2:$A$49,0)),"")</f>
        <v>Argentina</v>
      </c>
      <c r="H20" s="14">
        <v>25</v>
      </c>
      <c r="I20" s="14" t="str">
        <f>IFERROR(INDEX(Teams!$B$2:$B$49,MATCH($H20,Teams!$A$2:$A$49,0)),"")</f>
        <v>Algeria</v>
      </c>
      <c r="J20" s="14">
        <v>3</v>
      </c>
      <c r="K20" s="14">
        <v>0</v>
      </c>
      <c r="L20" s="14" t="s">
        <v>235</v>
      </c>
      <c r="M20" s="14">
        <v>10</v>
      </c>
      <c r="N20" s="14">
        <v>6</v>
      </c>
      <c r="O20" s="14">
        <v>48</v>
      </c>
      <c r="P20" s="14">
        <v>2</v>
      </c>
      <c r="Q20" s="14">
        <v>13</v>
      </c>
      <c r="R20" s="14">
        <v>0</v>
      </c>
      <c r="S20" s="14">
        <v>0</v>
      </c>
      <c r="T20" s="14">
        <v>3</v>
      </c>
      <c r="U20" s="14">
        <v>3</v>
      </c>
      <c r="V20" s="14">
        <v>3</v>
      </c>
      <c r="W20" s="14" t="b">
        <f>TRUE()</f>
        <v>1</v>
      </c>
    </row>
    <row r="21" spans="1:23" x14ac:dyDescent="0.3">
      <c r="A21" s="14">
        <v>20</v>
      </c>
      <c r="B21" s="14" t="s">
        <v>191</v>
      </c>
      <c r="C21" s="14" t="s">
        <v>34</v>
      </c>
      <c r="D21" s="14" t="s">
        <v>66</v>
      </c>
      <c r="E21" s="14">
        <v>15</v>
      </c>
      <c r="F21" s="14">
        <v>14</v>
      </c>
      <c r="G21" s="14" t="str">
        <f>IFERROR(INDEX(Teams!$B$2:$B$49,MATCH($F21,Teams!$A$2:$A$49,0)),"")</f>
        <v>Austria</v>
      </c>
      <c r="H21" s="14">
        <v>41</v>
      </c>
      <c r="I21" s="14" t="str">
        <f>IFERROR(INDEX(Teams!$B$2:$B$49,MATCH($H21,Teams!$A$2:$A$49,0)),"")</f>
        <v>Jordan</v>
      </c>
      <c r="J21" s="14">
        <v>3</v>
      </c>
      <c r="K21" s="14">
        <v>1</v>
      </c>
      <c r="L21" s="14" t="s">
        <v>235</v>
      </c>
      <c r="M21" s="14">
        <v>11</v>
      </c>
      <c r="N21" s="14">
        <v>4</v>
      </c>
      <c r="O21" s="14">
        <v>63</v>
      </c>
      <c r="P21" s="14">
        <v>4</v>
      </c>
      <c r="Q21" s="14">
        <v>12</v>
      </c>
      <c r="R21" s="14">
        <v>1</v>
      </c>
      <c r="S21" s="14">
        <v>0</v>
      </c>
      <c r="T21" s="14">
        <v>3</v>
      </c>
      <c r="U21" s="14">
        <v>2</v>
      </c>
      <c r="V21" s="14">
        <v>3</v>
      </c>
      <c r="W21" s="14" t="b">
        <f>FALSE()</f>
        <v>0</v>
      </c>
    </row>
    <row r="22" spans="1:23" x14ac:dyDescent="0.3">
      <c r="A22" s="14">
        <v>21</v>
      </c>
      <c r="B22" s="14" t="s">
        <v>192</v>
      </c>
      <c r="C22" s="14" t="s">
        <v>34</v>
      </c>
      <c r="D22" s="14" t="s">
        <v>78</v>
      </c>
      <c r="E22" s="14">
        <v>1</v>
      </c>
      <c r="F22" s="14">
        <v>29</v>
      </c>
      <c r="G22" s="14" t="str">
        <f>IFERROR(INDEX(Teams!$B$2:$B$49,MATCH($F22,Teams!$A$2:$A$49,0)),"")</f>
        <v>Ghana</v>
      </c>
      <c r="H22" s="14">
        <v>43</v>
      </c>
      <c r="I22" s="14" t="str">
        <f>IFERROR(INDEX(Teams!$B$2:$B$49,MATCH($H22,Teams!$A$2:$A$49,0)),"")</f>
        <v>Panama</v>
      </c>
      <c r="J22" s="14">
        <v>1</v>
      </c>
      <c r="K22" s="14">
        <v>0</v>
      </c>
      <c r="L22" s="14" t="s">
        <v>235</v>
      </c>
      <c r="M22" s="14">
        <v>7</v>
      </c>
      <c r="N22" s="14">
        <v>2</v>
      </c>
      <c r="O22" s="14">
        <v>38</v>
      </c>
      <c r="P22" s="14">
        <v>2</v>
      </c>
      <c r="Q22" s="14">
        <v>9</v>
      </c>
      <c r="R22" s="14">
        <v>1</v>
      </c>
      <c r="S22" s="14">
        <v>0</v>
      </c>
      <c r="T22" s="14">
        <v>4</v>
      </c>
      <c r="U22" s="14">
        <v>1</v>
      </c>
      <c r="V22" s="14">
        <v>3</v>
      </c>
      <c r="W22" s="14" t="b">
        <f>TRUE()</f>
        <v>1</v>
      </c>
    </row>
    <row r="23" spans="1:23" x14ac:dyDescent="0.3">
      <c r="A23" s="14">
        <v>22</v>
      </c>
      <c r="B23" s="14" t="s">
        <v>192</v>
      </c>
      <c r="C23" s="14" t="s">
        <v>34</v>
      </c>
      <c r="D23" s="14" t="s">
        <v>78</v>
      </c>
      <c r="E23" s="14">
        <v>8</v>
      </c>
      <c r="F23" s="14">
        <v>5</v>
      </c>
      <c r="G23" s="14" t="str">
        <f>IFERROR(INDEX(Teams!$B$2:$B$49,MATCH($F23,Teams!$A$2:$A$49,0)),"")</f>
        <v>England</v>
      </c>
      <c r="H23" s="14">
        <v>18</v>
      </c>
      <c r="I23" s="14" t="str">
        <f>IFERROR(INDEX(Teams!$B$2:$B$49,MATCH($H23,Teams!$A$2:$A$49,0)),"")</f>
        <v>Croatia</v>
      </c>
      <c r="J23" s="14">
        <v>4</v>
      </c>
      <c r="K23" s="14">
        <v>2</v>
      </c>
      <c r="L23" s="14" t="s">
        <v>235</v>
      </c>
      <c r="M23" s="14">
        <v>22</v>
      </c>
      <c r="N23" s="14">
        <v>11</v>
      </c>
      <c r="O23" s="14">
        <v>52</v>
      </c>
      <c r="P23" s="14">
        <v>8</v>
      </c>
      <c r="Q23" s="14">
        <v>10</v>
      </c>
      <c r="R23" s="14">
        <v>0</v>
      </c>
      <c r="S23" s="14">
        <v>0</v>
      </c>
      <c r="T23" s="14">
        <v>0</v>
      </c>
      <c r="U23" s="14">
        <v>2</v>
      </c>
      <c r="V23" s="14">
        <v>3</v>
      </c>
      <c r="W23" s="14" t="b">
        <f>FALSE()</f>
        <v>0</v>
      </c>
    </row>
    <row r="24" spans="1:23" x14ac:dyDescent="0.3">
      <c r="A24" s="14">
        <v>23</v>
      </c>
      <c r="B24" s="14" t="s">
        <v>192</v>
      </c>
      <c r="C24" s="14" t="s">
        <v>34</v>
      </c>
      <c r="D24" s="14" t="s">
        <v>75</v>
      </c>
      <c r="E24" s="14">
        <v>9</v>
      </c>
      <c r="F24" s="14">
        <v>23</v>
      </c>
      <c r="G24" s="14" t="str">
        <f>IFERROR(INDEX(Teams!$B$2:$B$49,MATCH($F24,Teams!$A$2:$A$49,0)),"")</f>
        <v>Portugal</v>
      </c>
      <c r="H24" s="14">
        <v>27</v>
      </c>
      <c r="I24" s="14" t="str">
        <f>IFERROR(INDEX(Teams!$B$2:$B$49,MATCH($H24,Teams!$A$2:$A$49,0)),"")</f>
        <v>Congo DR</v>
      </c>
      <c r="J24" s="14">
        <v>1</v>
      </c>
      <c r="K24" s="14">
        <v>1</v>
      </c>
      <c r="L24" s="14" t="s">
        <v>236</v>
      </c>
      <c r="M24" s="14">
        <v>7</v>
      </c>
      <c r="N24" s="14">
        <v>1</v>
      </c>
      <c r="O24" s="14">
        <v>75</v>
      </c>
      <c r="P24" s="14">
        <v>5</v>
      </c>
      <c r="Q24" s="14">
        <v>9</v>
      </c>
      <c r="R24" s="14">
        <v>3</v>
      </c>
      <c r="S24" s="14">
        <v>0</v>
      </c>
      <c r="T24" s="14">
        <v>3</v>
      </c>
      <c r="U24" s="14">
        <v>0</v>
      </c>
      <c r="V24" s="14">
        <v>1</v>
      </c>
      <c r="W24" s="14" t="b">
        <f>FALSE()</f>
        <v>0</v>
      </c>
    </row>
    <row r="25" spans="1:23" x14ac:dyDescent="0.3">
      <c r="A25" s="14">
        <v>24</v>
      </c>
      <c r="B25" s="14" t="s">
        <v>192</v>
      </c>
      <c r="C25" s="14" t="s">
        <v>34</v>
      </c>
      <c r="D25" s="14" t="s">
        <v>75</v>
      </c>
      <c r="E25" s="14">
        <v>3</v>
      </c>
      <c r="F25" s="14">
        <v>48</v>
      </c>
      <c r="G25" s="14" t="str">
        <f>IFERROR(INDEX(Teams!$B$2:$B$49,MATCH($F25,Teams!$A$2:$A$49,0)),"")</f>
        <v>Uzbekistan</v>
      </c>
      <c r="H25" s="14">
        <v>4</v>
      </c>
      <c r="I25" s="14" t="str">
        <f>IFERROR(INDEX(Teams!$B$2:$B$49,MATCH($H25,Teams!$A$2:$A$49,0)),"")</f>
        <v>Colombia</v>
      </c>
      <c r="J25" s="14">
        <v>1</v>
      </c>
      <c r="K25" s="14">
        <v>3</v>
      </c>
      <c r="L25" s="14" t="s">
        <v>237</v>
      </c>
      <c r="M25" s="14">
        <v>8</v>
      </c>
      <c r="N25" s="14">
        <v>2</v>
      </c>
      <c r="O25" s="14">
        <v>39</v>
      </c>
      <c r="P25" s="14">
        <v>3</v>
      </c>
      <c r="Q25" s="14">
        <v>14</v>
      </c>
      <c r="R25" s="14">
        <v>1</v>
      </c>
      <c r="S25" s="14">
        <v>0</v>
      </c>
      <c r="T25" s="14">
        <v>0</v>
      </c>
      <c r="U25" s="14">
        <v>-2</v>
      </c>
      <c r="V25" s="14">
        <v>0</v>
      </c>
      <c r="W25" s="14" t="b">
        <f>FALSE()</f>
        <v>0</v>
      </c>
    </row>
    <row r="26" spans="1:23" x14ac:dyDescent="0.3">
      <c r="A26" s="14">
        <v>25</v>
      </c>
      <c r="B26" s="14" t="s">
        <v>193</v>
      </c>
      <c r="C26" s="14" t="s">
        <v>34</v>
      </c>
      <c r="D26" s="14" t="s">
        <v>87</v>
      </c>
      <c r="E26" s="14">
        <v>6</v>
      </c>
      <c r="F26" s="14">
        <v>38</v>
      </c>
      <c r="G26" s="14" t="str">
        <f>IFERROR(INDEX(Teams!$B$2:$B$49,MATCH($F26,Teams!$A$2:$A$49,0)),"")</f>
        <v>Czechia</v>
      </c>
      <c r="H26" s="14">
        <v>24</v>
      </c>
      <c r="I26" s="14" t="str">
        <f>IFERROR(INDEX(Teams!$B$2:$B$49,MATCH($H26,Teams!$A$2:$A$49,0)),"")</f>
        <v>South Africa</v>
      </c>
      <c r="J26" s="14">
        <v>1</v>
      </c>
      <c r="K26" s="14">
        <v>1</v>
      </c>
      <c r="L26" s="14" t="s">
        <v>236</v>
      </c>
      <c r="M26" s="14">
        <v>14</v>
      </c>
      <c r="N26" s="14">
        <v>3</v>
      </c>
      <c r="O26" s="14">
        <v>38</v>
      </c>
      <c r="P26" s="14">
        <v>5</v>
      </c>
      <c r="Q26" s="14">
        <v>12</v>
      </c>
      <c r="R26" s="14">
        <v>1</v>
      </c>
      <c r="S26" s="14">
        <v>0</v>
      </c>
      <c r="T26" s="14">
        <v>2</v>
      </c>
      <c r="U26" s="14">
        <v>0</v>
      </c>
      <c r="V26" s="14">
        <v>1</v>
      </c>
      <c r="W26" s="14" t="b">
        <f>FALSE()</f>
        <v>0</v>
      </c>
    </row>
    <row r="27" spans="1:23" x14ac:dyDescent="0.3">
      <c r="A27" s="14">
        <v>26</v>
      </c>
      <c r="B27" s="14" t="s">
        <v>193</v>
      </c>
      <c r="C27" s="14" t="s">
        <v>34</v>
      </c>
      <c r="D27" s="14" t="s">
        <v>96</v>
      </c>
      <c r="E27" s="14">
        <v>11</v>
      </c>
      <c r="F27" s="14">
        <v>11</v>
      </c>
      <c r="G27" s="14" t="str">
        <f>IFERROR(INDEX(Teams!$B$2:$B$49,MATCH($F27,Teams!$A$2:$A$49,0)),"")</f>
        <v>Switzerland</v>
      </c>
      <c r="H27" s="14">
        <v>26</v>
      </c>
      <c r="I27" s="14" t="str">
        <f>IFERROR(INDEX(Teams!$B$2:$B$49,MATCH($H27,Teams!$A$2:$A$49,0)),"")</f>
        <v>Bosnia and Herzegovina</v>
      </c>
      <c r="J27" s="14">
        <v>4</v>
      </c>
      <c r="K27" s="14">
        <v>1</v>
      </c>
      <c r="L27" s="14" t="s">
        <v>235</v>
      </c>
      <c r="M27" s="14">
        <v>13</v>
      </c>
      <c r="N27" s="14">
        <v>7</v>
      </c>
      <c r="O27" s="14">
        <v>62</v>
      </c>
      <c r="P27" s="14">
        <v>7</v>
      </c>
      <c r="Q27" s="14">
        <v>7</v>
      </c>
      <c r="R27" s="14">
        <v>1</v>
      </c>
      <c r="S27" s="14">
        <v>0</v>
      </c>
      <c r="T27" s="14">
        <v>3</v>
      </c>
      <c r="U27" s="14">
        <v>3</v>
      </c>
      <c r="V27" s="14">
        <v>3</v>
      </c>
      <c r="W27" s="14" t="b">
        <f>FALSE()</f>
        <v>0</v>
      </c>
    </row>
    <row r="28" spans="1:23" x14ac:dyDescent="0.3">
      <c r="A28" s="14">
        <v>27</v>
      </c>
      <c r="B28" s="14" t="s">
        <v>193</v>
      </c>
      <c r="C28" s="14" t="s">
        <v>34</v>
      </c>
      <c r="D28" s="14" t="s">
        <v>96</v>
      </c>
      <c r="E28" s="14">
        <v>2</v>
      </c>
      <c r="F28" s="14">
        <v>16</v>
      </c>
      <c r="G28" s="14" t="str">
        <f>IFERROR(INDEX(Teams!$B$2:$B$49,MATCH($F28,Teams!$A$2:$A$49,0)),"")</f>
        <v>Canada</v>
      </c>
      <c r="H28" s="14">
        <v>44</v>
      </c>
      <c r="I28" s="14" t="str">
        <f>IFERROR(INDEX(Teams!$B$2:$B$49,MATCH($H28,Teams!$A$2:$A$49,0)),"")</f>
        <v>Qatar</v>
      </c>
      <c r="J28" s="14">
        <v>6</v>
      </c>
      <c r="K28" s="14">
        <v>0</v>
      </c>
      <c r="L28" s="14" t="s">
        <v>235</v>
      </c>
      <c r="M28" s="14">
        <v>32</v>
      </c>
      <c r="N28" s="14">
        <v>10</v>
      </c>
      <c r="O28" s="14">
        <v>79</v>
      </c>
      <c r="P28" s="14">
        <v>19</v>
      </c>
      <c r="Q28" s="14">
        <v>9</v>
      </c>
      <c r="R28" s="14">
        <v>1</v>
      </c>
      <c r="S28" s="14">
        <v>0</v>
      </c>
      <c r="T28" s="14">
        <v>1</v>
      </c>
      <c r="U28" s="14">
        <v>6</v>
      </c>
      <c r="V28" s="14">
        <v>3</v>
      </c>
      <c r="W28" s="14" t="b">
        <f>TRUE()</f>
        <v>1</v>
      </c>
    </row>
    <row r="29" spans="1:23" x14ac:dyDescent="0.3">
      <c r="A29" s="14">
        <v>28</v>
      </c>
      <c r="B29" s="14" t="s">
        <v>193</v>
      </c>
      <c r="C29" s="14" t="s">
        <v>34</v>
      </c>
      <c r="D29" s="14" t="s">
        <v>87</v>
      </c>
      <c r="E29" s="14">
        <v>4</v>
      </c>
      <c r="F29" s="14">
        <v>8</v>
      </c>
      <c r="G29" s="14" t="str">
        <f>IFERROR(INDEX(Teams!$B$2:$B$49,MATCH($F29,Teams!$A$2:$A$49,0)),"")</f>
        <v>Mexico</v>
      </c>
      <c r="H29" s="14">
        <v>31</v>
      </c>
      <c r="I29" s="14" t="str">
        <f>IFERROR(INDEX(Teams!$B$2:$B$49,MATCH($H29,Teams!$A$2:$A$49,0)),"")</f>
        <v>Korea Republic</v>
      </c>
      <c r="J29" s="14">
        <v>1</v>
      </c>
      <c r="K29" s="14">
        <v>0</v>
      </c>
      <c r="L29" s="14" t="s">
        <v>235</v>
      </c>
      <c r="M29" s="14">
        <v>8</v>
      </c>
      <c r="N29" s="14">
        <v>4</v>
      </c>
      <c r="O29" s="14">
        <v>42</v>
      </c>
      <c r="P29" s="14">
        <v>1</v>
      </c>
      <c r="Q29" s="14">
        <v>9</v>
      </c>
      <c r="R29" s="14">
        <v>0</v>
      </c>
      <c r="S29" s="14">
        <v>0</v>
      </c>
      <c r="T29" s="14">
        <v>3</v>
      </c>
      <c r="U29" s="14">
        <v>1</v>
      </c>
      <c r="V29" s="14">
        <v>3</v>
      </c>
      <c r="W29" s="14" t="b">
        <f>TRUE()</f>
        <v>1</v>
      </c>
    </row>
    <row r="30" spans="1:23" x14ac:dyDescent="0.3">
      <c r="A30" s="14">
        <v>29</v>
      </c>
      <c r="B30" s="14" t="s">
        <v>194</v>
      </c>
      <c r="C30" s="14" t="s">
        <v>34</v>
      </c>
      <c r="D30" s="14" t="s">
        <v>72</v>
      </c>
      <c r="E30" s="14">
        <v>14</v>
      </c>
      <c r="F30" s="14">
        <v>3</v>
      </c>
      <c r="G30" s="14" t="str">
        <f>IFERROR(INDEX(Teams!$B$2:$B$49,MATCH($F30,Teams!$A$2:$A$49,0)),"")</f>
        <v>Brazil</v>
      </c>
      <c r="H30" s="14">
        <v>39</v>
      </c>
      <c r="I30" s="14" t="str">
        <f>IFERROR(INDEX(Teams!$B$2:$B$49,MATCH($H30,Teams!$A$2:$A$49,0)),"")</f>
        <v>Haiti</v>
      </c>
      <c r="J30" s="14">
        <v>3</v>
      </c>
      <c r="K30" s="14">
        <v>0</v>
      </c>
      <c r="L30" s="14" t="s">
        <v>235</v>
      </c>
      <c r="M30" s="14">
        <v>8</v>
      </c>
      <c r="N30" s="14">
        <v>5</v>
      </c>
      <c r="O30" s="14">
        <v>57</v>
      </c>
      <c r="P30" s="14">
        <v>4</v>
      </c>
      <c r="Q30" s="14">
        <v>13</v>
      </c>
      <c r="R30" s="14">
        <v>1</v>
      </c>
      <c r="S30" s="14">
        <v>0</v>
      </c>
      <c r="T30" s="14">
        <v>8</v>
      </c>
      <c r="U30" s="14">
        <v>3</v>
      </c>
      <c r="V30" s="14">
        <v>3</v>
      </c>
      <c r="W30" s="14" t="b">
        <f>TRUE()</f>
        <v>1</v>
      </c>
    </row>
    <row r="31" spans="1:23" x14ac:dyDescent="0.3">
      <c r="A31" s="14">
        <v>30</v>
      </c>
      <c r="B31" s="14" t="s">
        <v>194</v>
      </c>
      <c r="C31" s="14" t="s">
        <v>34</v>
      </c>
      <c r="D31" s="14" t="s">
        <v>72</v>
      </c>
      <c r="E31" s="14">
        <v>7</v>
      </c>
      <c r="F31" s="14">
        <v>33</v>
      </c>
      <c r="G31" s="14" t="str">
        <f>IFERROR(INDEX(Teams!$B$2:$B$49,MATCH($F31,Teams!$A$2:$A$49,0)),"")</f>
        <v>Scotland</v>
      </c>
      <c r="H31" s="14">
        <v>21</v>
      </c>
      <c r="I31" s="14" t="str">
        <f>IFERROR(INDEX(Teams!$B$2:$B$49,MATCH($H31,Teams!$A$2:$A$49,0)),"")</f>
        <v>Morocco</v>
      </c>
      <c r="J31" s="14">
        <v>0</v>
      </c>
      <c r="K31" s="14">
        <v>1</v>
      </c>
      <c r="L31" s="14" t="s">
        <v>237</v>
      </c>
      <c r="M31" s="14">
        <v>6</v>
      </c>
      <c r="N31" s="14">
        <v>0</v>
      </c>
      <c r="O31" s="14">
        <v>41</v>
      </c>
      <c r="P31" s="14">
        <v>2</v>
      </c>
      <c r="Q31" s="14">
        <v>11</v>
      </c>
      <c r="R31" s="14">
        <v>1</v>
      </c>
      <c r="S31" s="14">
        <v>0</v>
      </c>
      <c r="T31" s="14">
        <v>1</v>
      </c>
      <c r="U31" s="14">
        <v>-1</v>
      </c>
      <c r="V31" s="14">
        <v>0</v>
      </c>
      <c r="W31" s="14" t="b">
        <f>FALSE()</f>
        <v>0</v>
      </c>
    </row>
    <row r="32" spans="1:23" x14ac:dyDescent="0.3">
      <c r="A32" s="14">
        <v>31</v>
      </c>
      <c r="B32" s="14" t="s">
        <v>194</v>
      </c>
      <c r="C32" s="14" t="s">
        <v>34</v>
      </c>
      <c r="D32" s="14" t="s">
        <v>98</v>
      </c>
      <c r="E32" s="14">
        <v>15</v>
      </c>
      <c r="F32" s="14">
        <v>47</v>
      </c>
      <c r="G32" s="14" t="str">
        <f>IFERROR(INDEX(Teams!$B$2:$B$49,MATCH($F32,Teams!$A$2:$A$49,0)),"")</f>
        <v>Türkiye</v>
      </c>
      <c r="H32" s="14">
        <v>32</v>
      </c>
      <c r="I32" s="14" t="str">
        <f>IFERROR(INDEX(Teams!$B$2:$B$49,MATCH($H32,Teams!$A$2:$A$49,0)),"")</f>
        <v>Paraguay</v>
      </c>
      <c r="J32" s="14">
        <v>0</v>
      </c>
      <c r="K32" s="14">
        <v>1</v>
      </c>
      <c r="L32" s="14" t="s">
        <v>237</v>
      </c>
      <c r="M32" s="14">
        <v>32</v>
      </c>
      <c r="N32" s="14">
        <v>5</v>
      </c>
      <c r="O32" s="14">
        <v>79</v>
      </c>
      <c r="P32" s="14">
        <v>12</v>
      </c>
      <c r="Q32" s="14">
        <v>14</v>
      </c>
      <c r="R32" s="14">
        <v>1</v>
      </c>
      <c r="S32" s="14">
        <v>0</v>
      </c>
      <c r="T32" s="14">
        <v>2</v>
      </c>
      <c r="U32" s="14">
        <v>-1</v>
      </c>
      <c r="V32" s="14">
        <v>0</v>
      </c>
      <c r="W32" s="14" t="b">
        <f>FALSE()</f>
        <v>0</v>
      </c>
    </row>
    <row r="33" spans="1:23" x14ac:dyDescent="0.3">
      <c r="A33" s="14">
        <v>32</v>
      </c>
      <c r="B33" s="14" t="s">
        <v>194</v>
      </c>
      <c r="C33" s="14" t="s">
        <v>34</v>
      </c>
      <c r="D33" s="14" t="s">
        <v>98</v>
      </c>
      <c r="E33" s="14">
        <v>16</v>
      </c>
      <c r="F33" s="14">
        <v>12</v>
      </c>
      <c r="G33" s="14" t="str">
        <f>IFERROR(INDEX(Teams!$B$2:$B$49,MATCH($F33,Teams!$A$2:$A$49,0)),"")</f>
        <v>USA</v>
      </c>
      <c r="H33" s="14">
        <v>13</v>
      </c>
      <c r="I33" s="14" t="str">
        <f>IFERROR(INDEX(Teams!$B$2:$B$49,MATCH($H33,Teams!$A$2:$A$49,0)),"")</f>
        <v>Australia</v>
      </c>
      <c r="J33" s="14">
        <v>2</v>
      </c>
      <c r="K33" s="14">
        <v>0</v>
      </c>
      <c r="L33" s="14" t="s">
        <v>235</v>
      </c>
      <c r="M33" s="14">
        <v>10</v>
      </c>
      <c r="N33" s="14">
        <v>2</v>
      </c>
      <c r="O33" s="14">
        <v>62</v>
      </c>
      <c r="P33" s="14">
        <v>7</v>
      </c>
      <c r="Q33" s="14">
        <v>12</v>
      </c>
      <c r="R33" s="14">
        <v>3</v>
      </c>
      <c r="S33" s="14">
        <v>0</v>
      </c>
      <c r="T33" s="14">
        <v>1</v>
      </c>
      <c r="U33" s="14">
        <v>2</v>
      </c>
      <c r="V33" s="14">
        <v>3</v>
      </c>
      <c r="W33" s="14" t="b">
        <f>TRUE()</f>
        <v>1</v>
      </c>
    </row>
    <row r="34" spans="1:23" x14ac:dyDescent="0.3">
      <c r="A34" s="14">
        <v>33</v>
      </c>
      <c r="B34" s="14" t="s">
        <v>195</v>
      </c>
      <c r="C34" s="14" t="s">
        <v>34</v>
      </c>
      <c r="D34" s="14" t="s">
        <v>84</v>
      </c>
      <c r="E34" s="14">
        <v>1</v>
      </c>
      <c r="F34" s="14">
        <v>7</v>
      </c>
      <c r="G34" s="14" t="str">
        <f>IFERROR(INDEX(Teams!$B$2:$B$49,MATCH($F34,Teams!$A$2:$A$49,0)),"")</f>
        <v>Germany</v>
      </c>
      <c r="H34" s="14">
        <v>17</v>
      </c>
      <c r="I34" s="14" t="str">
        <f>IFERROR(INDEX(Teams!$B$2:$B$49,MATCH($H34,Teams!$A$2:$A$49,0)),"")</f>
        <v>Côte d'Ivoire</v>
      </c>
      <c r="J34" s="14">
        <v>2</v>
      </c>
      <c r="K34" s="14">
        <v>1</v>
      </c>
      <c r="L34" s="14" t="s">
        <v>235</v>
      </c>
      <c r="M34" s="14">
        <v>16</v>
      </c>
      <c r="N34" s="14">
        <v>7</v>
      </c>
      <c r="O34" s="14">
        <v>60</v>
      </c>
      <c r="P34" s="14">
        <v>8</v>
      </c>
      <c r="Q34" s="14">
        <v>5</v>
      </c>
      <c r="R34" s="14">
        <v>0</v>
      </c>
      <c r="S34" s="14">
        <v>0</v>
      </c>
      <c r="T34" s="14">
        <v>0</v>
      </c>
      <c r="U34" s="14">
        <v>1</v>
      </c>
      <c r="V34" s="14">
        <v>3</v>
      </c>
      <c r="W34" s="14" t="b">
        <f>FALSE()</f>
        <v>0</v>
      </c>
    </row>
    <row r="35" spans="1:23" x14ac:dyDescent="0.3">
      <c r="A35" s="14">
        <v>34</v>
      </c>
      <c r="B35" s="14" t="s">
        <v>195</v>
      </c>
      <c r="C35" s="14" t="s">
        <v>34</v>
      </c>
      <c r="D35" s="14" t="s">
        <v>84</v>
      </c>
      <c r="E35" s="14">
        <v>10</v>
      </c>
      <c r="F35" s="14">
        <v>28</v>
      </c>
      <c r="G35" s="14" t="str">
        <f>IFERROR(INDEX(Teams!$B$2:$B$49,MATCH($F35,Teams!$A$2:$A$49,0)),"")</f>
        <v>Ecuador</v>
      </c>
      <c r="H35" s="14">
        <v>37</v>
      </c>
      <c r="I35" s="14" t="str">
        <f>IFERROR(INDEX(Teams!$B$2:$B$49,MATCH($H35,Teams!$A$2:$A$49,0)),"")</f>
        <v>Curaçao</v>
      </c>
      <c r="J35" s="14">
        <v>0</v>
      </c>
      <c r="K35" s="14">
        <v>0</v>
      </c>
      <c r="L35" s="14" t="s">
        <v>236</v>
      </c>
      <c r="M35" s="14">
        <v>27</v>
      </c>
      <c r="N35" s="14">
        <v>15</v>
      </c>
      <c r="O35" s="14">
        <v>75</v>
      </c>
      <c r="P35" s="14">
        <v>9</v>
      </c>
      <c r="Q35" s="14">
        <v>7</v>
      </c>
      <c r="R35" s="14">
        <v>1</v>
      </c>
      <c r="S35" s="14">
        <v>0</v>
      </c>
      <c r="T35" s="14">
        <v>1</v>
      </c>
      <c r="U35" s="14">
        <v>0</v>
      </c>
      <c r="V35" s="14">
        <v>1</v>
      </c>
      <c r="W35" s="14" t="b">
        <f>TRUE()</f>
        <v>1</v>
      </c>
    </row>
    <row r="36" spans="1:23" x14ac:dyDescent="0.3">
      <c r="A36" s="14">
        <v>35</v>
      </c>
      <c r="B36" s="14" t="s">
        <v>195</v>
      </c>
      <c r="C36" s="14" t="s">
        <v>34</v>
      </c>
      <c r="D36" s="14" t="s">
        <v>90</v>
      </c>
      <c r="E36" s="14">
        <v>9</v>
      </c>
      <c r="F36" s="14">
        <v>9</v>
      </c>
      <c r="G36" s="14" t="str">
        <f>IFERROR(INDEX(Teams!$B$2:$B$49,MATCH($F36,Teams!$A$2:$A$49,0)),"")</f>
        <v>Netherlands</v>
      </c>
      <c r="H36" s="14">
        <v>35</v>
      </c>
      <c r="I36" s="14" t="str">
        <f>IFERROR(INDEX(Teams!$B$2:$B$49,MATCH($H36,Teams!$A$2:$A$49,0)),"")</f>
        <v>Sweden</v>
      </c>
      <c r="J36" s="14">
        <v>5</v>
      </c>
      <c r="K36" s="14">
        <v>1</v>
      </c>
      <c r="L36" s="14" t="s">
        <v>235</v>
      </c>
      <c r="M36" s="14">
        <v>10</v>
      </c>
      <c r="N36" s="14">
        <v>7</v>
      </c>
      <c r="O36" s="14">
        <v>51</v>
      </c>
      <c r="P36" s="14">
        <v>2</v>
      </c>
      <c r="Q36" s="14">
        <v>9</v>
      </c>
      <c r="R36" s="14">
        <v>0</v>
      </c>
      <c r="S36" s="14">
        <v>0</v>
      </c>
      <c r="T36" s="14">
        <v>3</v>
      </c>
      <c r="U36" s="14">
        <v>4</v>
      </c>
      <c r="V36" s="14">
        <v>3</v>
      </c>
      <c r="W36" s="14" t="b">
        <f>FALSE()</f>
        <v>0</v>
      </c>
    </row>
    <row r="37" spans="1:23" x14ac:dyDescent="0.3">
      <c r="A37" s="14">
        <v>36</v>
      </c>
      <c r="B37" s="14" t="s">
        <v>195</v>
      </c>
      <c r="C37" s="14" t="s">
        <v>34</v>
      </c>
      <c r="D37" s="14" t="s">
        <v>90</v>
      </c>
      <c r="E37" s="14">
        <v>5</v>
      </c>
      <c r="F37" s="14">
        <v>46</v>
      </c>
      <c r="G37" s="14" t="str">
        <f>IFERROR(INDEX(Teams!$B$2:$B$49,MATCH($F37,Teams!$A$2:$A$49,0)),"")</f>
        <v>Tunisia</v>
      </c>
      <c r="H37" s="14">
        <v>20</v>
      </c>
      <c r="I37" s="14" t="str">
        <f>IFERROR(INDEX(Teams!$B$2:$B$49,MATCH($H37,Teams!$A$2:$A$49,0)),"")</f>
        <v>Japan</v>
      </c>
      <c r="J37" s="14">
        <v>0</v>
      </c>
      <c r="K37" s="14">
        <v>4</v>
      </c>
      <c r="L37" s="14" t="s">
        <v>237</v>
      </c>
      <c r="M37" s="14">
        <v>2</v>
      </c>
      <c r="N37" s="14">
        <v>0</v>
      </c>
      <c r="O37" s="14">
        <v>38</v>
      </c>
      <c r="P37" s="14">
        <v>3</v>
      </c>
      <c r="Q37" s="14">
        <v>8</v>
      </c>
      <c r="R37" s="14">
        <v>0</v>
      </c>
      <c r="S37" s="14">
        <v>0</v>
      </c>
      <c r="T37" s="14">
        <v>1</v>
      </c>
      <c r="U37" s="14">
        <v>-4</v>
      </c>
      <c r="V37" s="14">
        <v>0</v>
      </c>
      <c r="W37" s="14" t="b">
        <f>FALSE()</f>
        <v>0</v>
      </c>
    </row>
    <row r="38" spans="1:23" x14ac:dyDescent="0.3">
      <c r="A38" s="14">
        <v>37</v>
      </c>
      <c r="B38" s="14" t="s">
        <v>196</v>
      </c>
      <c r="C38" s="14" t="s">
        <v>34</v>
      </c>
      <c r="D38" s="14" t="s">
        <v>93</v>
      </c>
      <c r="E38" s="14">
        <v>12</v>
      </c>
      <c r="F38" s="14">
        <v>36</v>
      </c>
      <c r="G38" s="14" t="str">
        <f>IFERROR(INDEX(Teams!$B$2:$B$49,MATCH($F38,Teams!$A$2:$A$49,0)),"")</f>
        <v>Uruguay</v>
      </c>
      <c r="H38" s="14">
        <v>15</v>
      </c>
      <c r="I38" s="14" t="str">
        <f>IFERROR(INDEX(Teams!$B$2:$B$49,MATCH($H38,Teams!$A$2:$A$49,0)),"")</f>
        <v>Cabo Verde</v>
      </c>
      <c r="J38" s="14">
        <v>2</v>
      </c>
      <c r="K38" s="14">
        <v>2</v>
      </c>
      <c r="L38" s="14" t="s">
        <v>236</v>
      </c>
      <c r="M38" s="14">
        <v>17</v>
      </c>
      <c r="N38" s="14">
        <v>2</v>
      </c>
      <c r="O38" s="14">
        <v>65</v>
      </c>
      <c r="P38" s="14">
        <v>11</v>
      </c>
      <c r="Q38" s="14">
        <v>11</v>
      </c>
      <c r="R38" s="14">
        <v>2</v>
      </c>
      <c r="S38" s="14">
        <v>0</v>
      </c>
      <c r="T38" s="14">
        <v>3</v>
      </c>
      <c r="U38" s="14">
        <v>0</v>
      </c>
      <c r="V38" s="14">
        <v>1</v>
      </c>
      <c r="W38" s="14" t="b">
        <f>FALSE()</f>
        <v>0</v>
      </c>
    </row>
    <row r="39" spans="1:23" x14ac:dyDescent="0.3">
      <c r="A39" s="14">
        <v>38</v>
      </c>
      <c r="B39" s="14" t="s">
        <v>196</v>
      </c>
      <c r="C39" s="14" t="s">
        <v>34</v>
      </c>
      <c r="D39" s="14" t="s">
        <v>93</v>
      </c>
      <c r="E39" s="14">
        <v>6</v>
      </c>
      <c r="F39" s="14">
        <v>10</v>
      </c>
      <c r="G39" s="14" t="str">
        <f>IFERROR(INDEX(Teams!$B$2:$B$49,MATCH($F39,Teams!$A$2:$A$49,0)),"")</f>
        <v>Spain</v>
      </c>
      <c r="H39" s="14">
        <v>45</v>
      </c>
      <c r="I39" s="14" t="str">
        <f>IFERROR(INDEX(Teams!$B$2:$B$49,MATCH($H39,Teams!$A$2:$A$49,0)),"")</f>
        <v>Saudi Arabia</v>
      </c>
      <c r="J39" s="14">
        <v>4</v>
      </c>
      <c r="K39" s="14">
        <v>0</v>
      </c>
      <c r="L39" s="14" t="s">
        <v>235</v>
      </c>
      <c r="M39" s="14">
        <v>22</v>
      </c>
      <c r="N39" s="14">
        <v>8</v>
      </c>
      <c r="O39" s="14">
        <v>67</v>
      </c>
      <c r="P39" s="14">
        <v>6</v>
      </c>
      <c r="Q39" s="14">
        <v>10</v>
      </c>
      <c r="R39" s="14">
        <v>0</v>
      </c>
      <c r="S39" s="14">
        <v>0</v>
      </c>
      <c r="T39" s="14">
        <v>2</v>
      </c>
      <c r="U39" s="14">
        <v>4</v>
      </c>
      <c r="V39" s="14">
        <v>3</v>
      </c>
      <c r="W39" s="14" t="b">
        <f>TRUE()</f>
        <v>1</v>
      </c>
    </row>
    <row r="40" spans="1:23" x14ac:dyDescent="0.3">
      <c r="A40" s="14">
        <v>39</v>
      </c>
      <c r="B40" s="14" t="s">
        <v>196</v>
      </c>
      <c r="C40" s="14" t="s">
        <v>34</v>
      </c>
      <c r="D40" s="14" t="s">
        <v>69</v>
      </c>
      <c r="E40" s="14">
        <v>11</v>
      </c>
      <c r="F40" s="14">
        <v>2</v>
      </c>
      <c r="G40" s="14" t="str">
        <f>IFERROR(INDEX(Teams!$B$2:$B$49,MATCH($F40,Teams!$A$2:$A$49,0)),"")</f>
        <v>Belgium</v>
      </c>
      <c r="H40" s="14">
        <v>30</v>
      </c>
      <c r="I40" s="14" t="str">
        <f>IFERROR(INDEX(Teams!$B$2:$B$49,MATCH($H40,Teams!$A$2:$A$49,0)),"")</f>
        <v>IR Iran</v>
      </c>
      <c r="J40" s="14">
        <v>0</v>
      </c>
      <c r="K40" s="14">
        <v>0</v>
      </c>
      <c r="L40" s="14" t="s">
        <v>236</v>
      </c>
      <c r="M40" s="14">
        <v>23</v>
      </c>
      <c r="N40" s="14">
        <v>7</v>
      </c>
      <c r="O40" s="14">
        <v>70</v>
      </c>
      <c r="P40" s="14">
        <v>4</v>
      </c>
      <c r="Q40" s="14">
        <v>7</v>
      </c>
      <c r="R40" s="14">
        <v>1</v>
      </c>
      <c r="S40" s="14">
        <v>1</v>
      </c>
      <c r="T40" s="14">
        <v>3</v>
      </c>
      <c r="U40" s="14">
        <v>0</v>
      </c>
      <c r="V40" s="14">
        <v>1</v>
      </c>
      <c r="W40" s="14" t="b">
        <f>TRUE()</f>
        <v>1</v>
      </c>
    </row>
    <row r="41" spans="1:23" x14ac:dyDescent="0.3">
      <c r="A41" s="14">
        <v>40</v>
      </c>
      <c r="B41" s="14" t="s">
        <v>196</v>
      </c>
      <c r="C41" s="14" t="s">
        <v>34</v>
      </c>
      <c r="D41" s="14" t="s">
        <v>69</v>
      </c>
      <c r="E41" s="14">
        <v>2</v>
      </c>
      <c r="F41" s="14">
        <v>42</v>
      </c>
      <c r="G41" s="14" t="str">
        <f>IFERROR(INDEX(Teams!$B$2:$B$49,MATCH($F41,Teams!$A$2:$A$49,0)),"")</f>
        <v>New Zealand</v>
      </c>
      <c r="H41" s="14">
        <v>19</v>
      </c>
      <c r="I41" s="14" t="str">
        <f>IFERROR(INDEX(Teams!$B$2:$B$49,MATCH($H41,Teams!$A$2:$A$49,0)),"")</f>
        <v>Egypt</v>
      </c>
      <c r="J41" s="14">
        <v>1</v>
      </c>
      <c r="K41" s="14">
        <v>3</v>
      </c>
      <c r="L41" s="14" t="s">
        <v>237</v>
      </c>
      <c r="M41" s="14">
        <v>11</v>
      </c>
      <c r="N41" s="14">
        <v>5</v>
      </c>
      <c r="O41" s="14">
        <v>44</v>
      </c>
      <c r="P41" s="14">
        <v>4</v>
      </c>
      <c r="Q41" s="14">
        <v>14</v>
      </c>
      <c r="R41" s="14">
        <v>2</v>
      </c>
      <c r="S41" s="14">
        <v>0</v>
      </c>
      <c r="T41" s="14">
        <v>3</v>
      </c>
      <c r="U41" s="14">
        <v>-2</v>
      </c>
      <c r="V41" s="14">
        <v>0</v>
      </c>
      <c r="W41" s="14" t="b">
        <f>FALSE()</f>
        <v>0</v>
      </c>
    </row>
    <row r="42" spans="1:23" x14ac:dyDescent="0.3">
      <c r="A42" s="14">
        <v>41</v>
      </c>
      <c r="B42" s="14" t="s">
        <v>197</v>
      </c>
      <c r="C42" s="14" t="s">
        <v>34</v>
      </c>
      <c r="D42" s="14" t="s">
        <v>81</v>
      </c>
      <c r="E42" s="14">
        <v>13</v>
      </c>
      <c r="F42" s="14">
        <v>22</v>
      </c>
      <c r="G42" s="14" t="str">
        <f>IFERROR(INDEX(Teams!$B$2:$B$49,MATCH($F42,Teams!$A$2:$A$49,0)),"")</f>
        <v>Norway</v>
      </c>
      <c r="H42" s="14">
        <v>34</v>
      </c>
      <c r="I42" s="14" t="str">
        <f>IFERROR(INDEX(Teams!$B$2:$B$49,MATCH($H42,Teams!$A$2:$A$49,0)),"")</f>
        <v>Senegal</v>
      </c>
      <c r="J42" s="14">
        <v>3</v>
      </c>
      <c r="K42" s="14">
        <v>2</v>
      </c>
      <c r="L42" s="14" t="s">
        <v>235</v>
      </c>
      <c r="M42" s="14">
        <v>13</v>
      </c>
      <c r="N42" s="14">
        <v>7</v>
      </c>
      <c r="O42" s="14">
        <v>42</v>
      </c>
      <c r="P42" s="14">
        <v>5</v>
      </c>
      <c r="Q42" s="14">
        <v>13</v>
      </c>
      <c r="R42" s="14">
        <v>0</v>
      </c>
      <c r="S42" s="14">
        <v>0</v>
      </c>
      <c r="T42" s="14">
        <v>0</v>
      </c>
      <c r="U42" s="14">
        <v>1</v>
      </c>
      <c r="V42" s="14">
        <v>3</v>
      </c>
      <c r="W42" s="14" t="b">
        <f>FALSE()</f>
        <v>0</v>
      </c>
    </row>
    <row r="43" spans="1:23" x14ac:dyDescent="0.3">
      <c r="A43" s="14">
        <v>42</v>
      </c>
      <c r="B43" s="14" t="s">
        <v>197</v>
      </c>
      <c r="C43" s="14" t="s">
        <v>34</v>
      </c>
      <c r="D43" s="14" t="s">
        <v>81</v>
      </c>
      <c r="E43" s="14">
        <v>14</v>
      </c>
      <c r="F43" s="14">
        <v>6</v>
      </c>
      <c r="G43" s="14" t="str">
        <f>IFERROR(INDEX(Teams!$B$2:$B$49,MATCH($F43,Teams!$A$2:$A$49,0)),"")</f>
        <v>France</v>
      </c>
      <c r="H43" s="14">
        <v>40</v>
      </c>
      <c r="I43" s="14" t="str">
        <f>IFERROR(INDEX(Teams!$B$2:$B$49,MATCH($H43,Teams!$A$2:$A$49,0)),"")</f>
        <v>Iraq</v>
      </c>
      <c r="J43" s="14">
        <v>3</v>
      </c>
      <c r="K43" s="14">
        <v>0</v>
      </c>
      <c r="L43" s="14" t="s">
        <v>235</v>
      </c>
      <c r="M43" s="14">
        <v>19</v>
      </c>
      <c r="N43" s="14">
        <v>5</v>
      </c>
      <c r="O43" s="14">
        <v>56</v>
      </c>
      <c r="P43" s="14">
        <v>4</v>
      </c>
      <c r="Q43" s="14">
        <v>8</v>
      </c>
      <c r="R43" s="14">
        <v>0</v>
      </c>
      <c r="S43" s="14">
        <v>0</v>
      </c>
      <c r="T43" s="14">
        <v>1</v>
      </c>
      <c r="U43" s="14">
        <v>3</v>
      </c>
      <c r="V43" s="14">
        <v>3</v>
      </c>
      <c r="W43" s="14" t="b">
        <f>TRUE()</f>
        <v>1</v>
      </c>
    </row>
    <row r="44" spans="1:23" x14ac:dyDescent="0.3">
      <c r="A44" s="14">
        <v>43</v>
      </c>
      <c r="B44" s="14" t="s">
        <v>197</v>
      </c>
      <c r="C44" s="14" t="s">
        <v>34</v>
      </c>
      <c r="D44" s="14" t="s">
        <v>66</v>
      </c>
      <c r="E44" s="14">
        <v>8</v>
      </c>
      <c r="F44" s="14">
        <v>1</v>
      </c>
      <c r="G44" s="14" t="str">
        <f>IFERROR(INDEX(Teams!$B$2:$B$49,MATCH($F44,Teams!$A$2:$A$49,0)),"")</f>
        <v>Argentina</v>
      </c>
      <c r="H44" s="14">
        <v>14</v>
      </c>
      <c r="I44" s="14" t="str">
        <f>IFERROR(INDEX(Teams!$B$2:$B$49,MATCH($H44,Teams!$A$2:$A$49,0)),"")</f>
        <v>Austria</v>
      </c>
      <c r="J44" s="14">
        <v>2</v>
      </c>
      <c r="K44" s="14">
        <v>0</v>
      </c>
      <c r="L44" s="14" t="s">
        <v>235</v>
      </c>
      <c r="M44" s="14">
        <v>12</v>
      </c>
      <c r="N44" s="14">
        <v>5</v>
      </c>
      <c r="O44" s="14">
        <v>54</v>
      </c>
      <c r="P44" s="14">
        <v>1</v>
      </c>
      <c r="Q44" s="14">
        <v>13</v>
      </c>
      <c r="R44" s="14">
        <v>2</v>
      </c>
      <c r="S44" s="14">
        <v>0</v>
      </c>
      <c r="T44" s="14">
        <v>2</v>
      </c>
      <c r="U44" s="14">
        <v>2</v>
      </c>
      <c r="V44" s="14">
        <v>3</v>
      </c>
      <c r="W44" s="14" t="b">
        <f>TRUE()</f>
        <v>1</v>
      </c>
    </row>
    <row r="45" spans="1:23" x14ac:dyDescent="0.3">
      <c r="A45" s="14">
        <v>44</v>
      </c>
      <c r="B45" s="14" t="s">
        <v>197</v>
      </c>
      <c r="C45" s="14" t="s">
        <v>34</v>
      </c>
      <c r="D45" s="14" t="s">
        <v>66</v>
      </c>
      <c r="E45" s="14">
        <v>15</v>
      </c>
      <c r="F45" s="14">
        <v>41</v>
      </c>
      <c r="G45" s="14" t="str">
        <f>IFERROR(INDEX(Teams!$B$2:$B$49,MATCH($F45,Teams!$A$2:$A$49,0)),"")</f>
        <v>Jordan</v>
      </c>
      <c r="H45" s="14">
        <v>25</v>
      </c>
      <c r="I45" s="14" t="str">
        <f>IFERROR(INDEX(Teams!$B$2:$B$49,MATCH($H45,Teams!$A$2:$A$49,0)),"")</f>
        <v>Algeria</v>
      </c>
      <c r="J45" s="14">
        <v>1</v>
      </c>
      <c r="K45" s="14">
        <v>2</v>
      </c>
      <c r="L45" s="14" t="s">
        <v>237</v>
      </c>
      <c r="M45" s="14">
        <v>8</v>
      </c>
      <c r="N45" s="14">
        <v>4</v>
      </c>
      <c r="O45" s="14">
        <v>28</v>
      </c>
      <c r="P45" s="14">
        <v>1</v>
      </c>
      <c r="Q45" s="14">
        <v>11</v>
      </c>
      <c r="R45" s="14">
        <v>1</v>
      </c>
      <c r="S45" s="14">
        <v>0</v>
      </c>
      <c r="T45" s="14">
        <v>1</v>
      </c>
      <c r="U45" s="14">
        <v>-1</v>
      </c>
      <c r="V45" s="14">
        <v>0</v>
      </c>
      <c r="W45" s="14" t="b">
        <f>FALSE()</f>
        <v>0</v>
      </c>
    </row>
    <row r="46" spans="1:23" x14ac:dyDescent="0.3">
      <c r="A46" s="14">
        <v>45</v>
      </c>
      <c r="B46" s="14" t="s">
        <v>198</v>
      </c>
      <c r="C46" s="14" t="s">
        <v>34</v>
      </c>
      <c r="D46" s="14" t="s">
        <v>78</v>
      </c>
      <c r="E46" s="14">
        <v>7</v>
      </c>
      <c r="F46" s="14">
        <v>5</v>
      </c>
      <c r="G46" s="14" t="str">
        <f>IFERROR(INDEX(Teams!$B$2:$B$49,MATCH($F46,Teams!$A$2:$A$49,0)),"")</f>
        <v>England</v>
      </c>
      <c r="H46" s="14">
        <v>29</v>
      </c>
      <c r="I46" s="14" t="str">
        <f>IFERROR(INDEX(Teams!$B$2:$B$49,MATCH($H46,Teams!$A$2:$A$49,0)),"")</f>
        <v>Ghana</v>
      </c>
      <c r="J46" s="14">
        <v>0</v>
      </c>
      <c r="K46" s="14">
        <v>0</v>
      </c>
      <c r="L46" s="14" t="s">
        <v>236</v>
      </c>
      <c r="M46" s="14">
        <v>19</v>
      </c>
      <c r="N46" s="14">
        <v>3</v>
      </c>
      <c r="O46" s="14">
        <v>79</v>
      </c>
      <c r="P46" s="14">
        <v>9</v>
      </c>
      <c r="Q46" s="14">
        <v>14</v>
      </c>
      <c r="R46" s="14">
        <v>1</v>
      </c>
      <c r="S46" s="14">
        <v>0</v>
      </c>
      <c r="T46" s="14">
        <v>2</v>
      </c>
      <c r="U46" s="14">
        <v>0</v>
      </c>
      <c r="V46" s="14">
        <v>1</v>
      </c>
      <c r="W46" s="14" t="b">
        <f>TRUE()</f>
        <v>1</v>
      </c>
    </row>
    <row r="47" spans="1:23" x14ac:dyDescent="0.3">
      <c r="A47" s="14">
        <v>46</v>
      </c>
      <c r="B47" s="14" t="s">
        <v>198</v>
      </c>
      <c r="C47" s="14" t="s">
        <v>34</v>
      </c>
      <c r="D47" s="14" t="s">
        <v>78</v>
      </c>
      <c r="E47" s="14">
        <v>1</v>
      </c>
      <c r="F47" s="14">
        <v>43</v>
      </c>
      <c r="G47" s="14" t="str">
        <f>IFERROR(INDEX(Teams!$B$2:$B$49,MATCH($F47,Teams!$A$2:$A$49,0)),"")</f>
        <v>Panama</v>
      </c>
      <c r="H47" s="14">
        <v>18</v>
      </c>
      <c r="I47" s="14" t="str">
        <f>IFERROR(INDEX(Teams!$B$2:$B$49,MATCH($H47,Teams!$A$2:$A$49,0)),"")</f>
        <v>Croatia</v>
      </c>
      <c r="J47" s="14">
        <v>0</v>
      </c>
      <c r="K47" s="14">
        <v>1</v>
      </c>
      <c r="L47" s="14" t="s">
        <v>237</v>
      </c>
      <c r="M47" s="14">
        <v>8</v>
      </c>
      <c r="N47" s="14">
        <v>1</v>
      </c>
      <c r="O47" s="14">
        <v>42</v>
      </c>
      <c r="P47" s="14">
        <v>7</v>
      </c>
      <c r="Q47" s="14">
        <v>19</v>
      </c>
      <c r="R47" s="14">
        <v>1</v>
      </c>
      <c r="S47" s="14">
        <v>0</v>
      </c>
      <c r="T47" s="14">
        <v>1</v>
      </c>
      <c r="U47" s="14">
        <v>-1</v>
      </c>
      <c r="V47" s="14">
        <v>0</v>
      </c>
      <c r="W47" s="14" t="b">
        <f>FALSE()</f>
        <v>0</v>
      </c>
    </row>
    <row r="48" spans="1:23" x14ac:dyDescent="0.3">
      <c r="A48" s="14">
        <v>47</v>
      </c>
      <c r="B48" s="14" t="s">
        <v>198</v>
      </c>
      <c r="C48" s="14" t="s">
        <v>34</v>
      </c>
      <c r="D48" s="14" t="s">
        <v>75</v>
      </c>
      <c r="E48" s="14">
        <v>9</v>
      </c>
      <c r="F48" s="14">
        <v>23</v>
      </c>
      <c r="G48" s="14" t="str">
        <f>IFERROR(INDEX(Teams!$B$2:$B$49,MATCH($F48,Teams!$A$2:$A$49,0)),"")</f>
        <v>Portugal</v>
      </c>
      <c r="H48" s="14">
        <v>48</v>
      </c>
      <c r="I48" s="14" t="str">
        <f>IFERROR(INDEX(Teams!$B$2:$B$49,MATCH($H48,Teams!$A$2:$A$49,0)),"")</f>
        <v>Uzbekistan</v>
      </c>
      <c r="J48" s="14">
        <v>5</v>
      </c>
      <c r="K48" s="14">
        <v>0</v>
      </c>
      <c r="L48" s="14" t="s">
        <v>235</v>
      </c>
      <c r="M48" s="14">
        <v>17</v>
      </c>
      <c r="N48" s="14">
        <v>9</v>
      </c>
      <c r="O48" s="14">
        <v>66</v>
      </c>
      <c r="P48" s="14">
        <v>3</v>
      </c>
      <c r="Q48" s="14">
        <v>14</v>
      </c>
      <c r="R48" s="14">
        <v>1</v>
      </c>
      <c r="S48" s="14">
        <v>0</v>
      </c>
      <c r="T48" s="14">
        <v>2</v>
      </c>
      <c r="U48" s="14">
        <v>5</v>
      </c>
      <c r="V48" s="14">
        <v>3</v>
      </c>
      <c r="W48" s="14" t="b">
        <f>TRUE()</f>
        <v>1</v>
      </c>
    </row>
    <row r="49" spans="1:23" x14ac:dyDescent="0.3">
      <c r="A49" s="14">
        <v>48</v>
      </c>
      <c r="B49" s="14" t="s">
        <v>198</v>
      </c>
      <c r="C49" s="14" t="s">
        <v>34</v>
      </c>
      <c r="D49" s="14" t="s">
        <v>75</v>
      </c>
      <c r="E49" s="14">
        <v>4</v>
      </c>
      <c r="F49" s="14">
        <v>4</v>
      </c>
      <c r="G49" s="14" t="str">
        <f>IFERROR(INDEX(Teams!$B$2:$B$49,MATCH($F49,Teams!$A$2:$A$49,0)),"")</f>
        <v>Colombia</v>
      </c>
      <c r="H49" s="14">
        <v>27</v>
      </c>
      <c r="I49" s="14" t="str">
        <f>IFERROR(INDEX(Teams!$B$2:$B$49,MATCH($H49,Teams!$A$2:$A$49,0)),"")</f>
        <v>Congo DR</v>
      </c>
      <c r="J49" s="14">
        <v>1</v>
      </c>
      <c r="K49" s="14">
        <v>0</v>
      </c>
      <c r="L49" s="14" t="s">
        <v>235</v>
      </c>
      <c r="M49" s="14">
        <v>20</v>
      </c>
      <c r="N49" s="14">
        <v>9</v>
      </c>
      <c r="O49" s="14">
        <v>64</v>
      </c>
      <c r="P49" s="14">
        <v>5</v>
      </c>
      <c r="Q49" s="14">
        <v>12</v>
      </c>
      <c r="R49" s="14">
        <v>2</v>
      </c>
      <c r="S49" s="14">
        <v>0</v>
      </c>
      <c r="T49" s="14">
        <v>7</v>
      </c>
      <c r="U49" s="14">
        <v>1</v>
      </c>
      <c r="V49" s="14">
        <v>3</v>
      </c>
      <c r="W49" s="14" t="b">
        <f>TRUE()</f>
        <v>1</v>
      </c>
    </row>
    <row r="50" spans="1:23" x14ac:dyDescent="0.3">
      <c r="A50" s="14">
        <v>49</v>
      </c>
      <c r="B50" s="14" t="s">
        <v>199</v>
      </c>
      <c r="C50" s="14" t="s">
        <v>34</v>
      </c>
      <c r="D50" s="14" t="s">
        <v>72</v>
      </c>
      <c r="E50" s="14">
        <v>12</v>
      </c>
      <c r="F50" s="14">
        <v>33</v>
      </c>
      <c r="G50" s="14" t="str">
        <f>IFERROR(INDEX(Teams!$B$2:$B$49,MATCH($F50,Teams!$A$2:$A$49,0)),"")</f>
        <v>Scotland</v>
      </c>
      <c r="H50" s="14">
        <v>3</v>
      </c>
      <c r="I50" s="14" t="str">
        <f>IFERROR(INDEX(Teams!$B$2:$B$49,MATCH($H50,Teams!$A$2:$A$49,0)),"")</f>
        <v>Brazil</v>
      </c>
      <c r="J50" s="14">
        <v>0</v>
      </c>
      <c r="K50" s="14">
        <v>3</v>
      </c>
      <c r="L50" s="14" t="s">
        <v>237</v>
      </c>
      <c r="M50" s="14">
        <v>14</v>
      </c>
      <c r="N50" s="14">
        <v>5</v>
      </c>
      <c r="O50" s="14">
        <v>46</v>
      </c>
      <c r="P50" s="14">
        <v>7</v>
      </c>
      <c r="Q50" s="14">
        <v>10</v>
      </c>
      <c r="R50" s="14">
        <v>1</v>
      </c>
      <c r="S50" s="14">
        <v>0</v>
      </c>
      <c r="T50" s="14">
        <v>0</v>
      </c>
      <c r="U50" s="14">
        <v>-3</v>
      </c>
      <c r="V50" s="14">
        <v>0</v>
      </c>
      <c r="W50" s="14" t="b">
        <f>FALSE()</f>
        <v>0</v>
      </c>
    </row>
    <row r="51" spans="1:23" x14ac:dyDescent="0.3">
      <c r="A51" s="14">
        <v>50</v>
      </c>
      <c r="B51" s="14" t="s">
        <v>199</v>
      </c>
      <c r="C51" s="14" t="s">
        <v>34</v>
      </c>
      <c r="D51" s="14" t="s">
        <v>72</v>
      </c>
      <c r="E51" s="14">
        <v>6</v>
      </c>
      <c r="F51" s="14">
        <v>21</v>
      </c>
      <c r="G51" s="14" t="str">
        <f>IFERROR(INDEX(Teams!$B$2:$B$49,MATCH($F51,Teams!$A$2:$A$49,0)),"")</f>
        <v>Morocco</v>
      </c>
      <c r="H51" s="14">
        <v>39</v>
      </c>
      <c r="I51" s="14" t="str">
        <f>IFERROR(INDEX(Teams!$B$2:$B$49,MATCH($H51,Teams!$A$2:$A$49,0)),"")</f>
        <v>Haiti</v>
      </c>
      <c r="J51" s="14">
        <v>4</v>
      </c>
      <c r="K51" s="14">
        <v>2</v>
      </c>
      <c r="L51" s="14" t="s">
        <v>235</v>
      </c>
      <c r="M51" s="14">
        <v>22</v>
      </c>
      <c r="N51" s="14">
        <v>11</v>
      </c>
      <c r="O51" s="14">
        <v>69</v>
      </c>
      <c r="P51" s="14">
        <v>9</v>
      </c>
      <c r="Q51" s="14">
        <v>10</v>
      </c>
      <c r="R51" s="14">
        <v>0</v>
      </c>
      <c r="S51" s="14">
        <v>0</v>
      </c>
      <c r="T51" s="14">
        <v>5</v>
      </c>
      <c r="U51" s="14">
        <v>2</v>
      </c>
      <c r="V51" s="14">
        <v>3</v>
      </c>
      <c r="W51" s="14" t="b">
        <f>FALSE()</f>
        <v>0</v>
      </c>
    </row>
    <row r="52" spans="1:23" x14ac:dyDescent="0.3">
      <c r="A52" s="14">
        <v>51</v>
      </c>
      <c r="B52" s="14" t="s">
        <v>199</v>
      </c>
      <c r="C52" s="14" t="s">
        <v>34</v>
      </c>
      <c r="D52" s="14" t="s">
        <v>96</v>
      </c>
      <c r="E52" s="14">
        <v>2</v>
      </c>
      <c r="F52" s="14">
        <v>11</v>
      </c>
      <c r="G52" s="14" t="str">
        <f>IFERROR(INDEX(Teams!$B$2:$B$49,MATCH($F52,Teams!$A$2:$A$49,0)),"")</f>
        <v>Switzerland</v>
      </c>
      <c r="H52" s="14">
        <v>16</v>
      </c>
      <c r="I52" s="14" t="str">
        <f>IFERROR(INDEX(Teams!$B$2:$B$49,MATCH($H52,Teams!$A$2:$A$49,0)),"")</f>
        <v>Canada</v>
      </c>
      <c r="J52" s="14">
        <v>2</v>
      </c>
      <c r="K52" s="14">
        <v>1</v>
      </c>
      <c r="L52" s="14" t="s">
        <v>235</v>
      </c>
      <c r="M52" s="14">
        <v>6</v>
      </c>
      <c r="N52" s="14">
        <v>4</v>
      </c>
      <c r="O52" s="14">
        <v>55</v>
      </c>
      <c r="P52" s="14">
        <v>2</v>
      </c>
      <c r="Q52" s="14">
        <v>19</v>
      </c>
      <c r="R52" s="14">
        <v>1</v>
      </c>
      <c r="S52" s="14">
        <v>0</v>
      </c>
      <c r="T52" s="14">
        <v>1</v>
      </c>
      <c r="U52" s="14">
        <v>1</v>
      </c>
      <c r="V52" s="14">
        <v>3</v>
      </c>
      <c r="W52" s="14" t="b">
        <f>FALSE()</f>
        <v>0</v>
      </c>
    </row>
    <row r="53" spans="1:23" x14ac:dyDescent="0.3">
      <c r="A53" s="14">
        <v>52</v>
      </c>
      <c r="B53" s="14" t="s">
        <v>199</v>
      </c>
      <c r="C53" s="14" t="s">
        <v>34</v>
      </c>
      <c r="D53" s="14" t="s">
        <v>96</v>
      </c>
      <c r="E53" s="14">
        <v>16</v>
      </c>
      <c r="F53" s="14">
        <v>26</v>
      </c>
      <c r="G53" s="14" t="str">
        <f>IFERROR(INDEX(Teams!$B$2:$B$49,MATCH($F53,Teams!$A$2:$A$49,0)),"")</f>
        <v>Bosnia and Herzegovina</v>
      </c>
      <c r="H53" s="14">
        <v>44</v>
      </c>
      <c r="I53" s="14" t="str">
        <f>IFERROR(INDEX(Teams!$B$2:$B$49,MATCH($H53,Teams!$A$2:$A$49,0)),"")</f>
        <v>Qatar</v>
      </c>
      <c r="J53" s="14">
        <v>3</v>
      </c>
      <c r="K53" s="14">
        <v>1</v>
      </c>
      <c r="L53" s="14" t="s">
        <v>235</v>
      </c>
      <c r="M53" s="14">
        <v>14</v>
      </c>
      <c r="N53" s="14">
        <v>5</v>
      </c>
      <c r="O53" s="14">
        <v>54</v>
      </c>
      <c r="P53" s="14">
        <v>5</v>
      </c>
      <c r="Q53" s="14">
        <v>9</v>
      </c>
      <c r="R53" s="14">
        <v>1</v>
      </c>
      <c r="S53" s="14">
        <v>0</v>
      </c>
      <c r="T53" s="14">
        <v>1</v>
      </c>
      <c r="U53" s="14">
        <v>2</v>
      </c>
      <c r="V53" s="14">
        <v>3</v>
      </c>
      <c r="W53" s="14" t="b">
        <f>FALSE()</f>
        <v>0</v>
      </c>
    </row>
    <row r="54" spans="1:23" x14ac:dyDescent="0.3">
      <c r="A54" s="14">
        <v>53</v>
      </c>
      <c r="B54" s="14" t="s">
        <v>199</v>
      </c>
      <c r="C54" s="14" t="s">
        <v>34</v>
      </c>
      <c r="D54" s="14" t="s">
        <v>87</v>
      </c>
      <c r="E54" s="14">
        <v>3</v>
      </c>
      <c r="F54" s="14">
        <v>38</v>
      </c>
      <c r="G54" s="14" t="str">
        <f>IFERROR(INDEX(Teams!$B$2:$B$49,MATCH($F54,Teams!$A$2:$A$49,0)),"")</f>
        <v>Czechia</v>
      </c>
      <c r="H54" s="14">
        <v>8</v>
      </c>
      <c r="I54" s="14" t="str">
        <f>IFERROR(INDEX(Teams!$B$2:$B$49,MATCH($H54,Teams!$A$2:$A$49,0)),"")</f>
        <v>Mexico</v>
      </c>
      <c r="J54" s="14">
        <v>0</v>
      </c>
      <c r="K54" s="14">
        <v>3</v>
      </c>
      <c r="L54" s="14" t="s">
        <v>237</v>
      </c>
      <c r="M54" s="14">
        <v>13</v>
      </c>
      <c r="N54" s="14">
        <v>1</v>
      </c>
      <c r="O54" s="14">
        <v>52</v>
      </c>
      <c r="P54" s="14">
        <v>5</v>
      </c>
      <c r="Q54" s="14">
        <v>9</v>
      </c>
      <c r="R54" s="14">
        <v>0</v>
      </c>
      <c r="S54" s="14">
        <v>0</v>
      </c>
      <c r="T54" s="14">
        <v>1</v>
      </c>
      <c r="U54" s="14">
        <v>-3</v>
      </c>
      <c r="V54" s="14">
        <v>0</v>
      </c>
      <c r="W54" s="14" t="b">
        <f>FALSE()</f>
        <v>0</v>
      </c>
    </row>
    <row r="55" spans="1:23" x14ac:dyDescent="0.3">
      <c r="A55" s="14">
        <v>54</v>
      </c>
      <c r="B55" s="14" t="s">
        <v>199</v>
      </c>
      <c r="C55" s="14" t="s">
        <v>34</v>
      </c>
      <c r="D55" s="14" t="s">
        <v>87</v>
      </c>
      <c r="E55" s="14">
        <v>5</v>
      </c>
      <c r="F55" s="14">
        <v>24</v>
      </c>
      <c r="G55" s="14" t="str">
        <f>IFERROR(INDEX(Teams!$B$2:$B$49,MATCH($F55,Teams!$A$2:$A$49,0)),"")</f>
        <v>South Africa</v>
      </c>
      <c r="H55" s="14">
        <v>31</v>
      </c>
      <c r="I55" s="14" t="str">
        <f>IFERROR(INDEX(Teams!$B$2:$B$49,MATCH($H55,Teams!$A$2:$A$49,0)),"")</f>
        <v>Korea Republic</v>
      </c>
      <c r="J55" s="14">
        <v>1</v>
      </c>
      <c r="K55" s="14">
        <v>0</v>
      </c>
      <c r="L55" s="14" t="s">
        <v>235</v>
      </c>
      <c r="M55" s="14">
        <v>13</v>
      </c>
      <c r="N55" s="14">
        <v>4</v>
      </c>
      <c r="O55" s="14">
        <v>32</v>
      </c>
      <c r="P55" s="14">
        <v>4</v>
      </c>
      <c r="Q55" s="14">
        <v>7</v>
      </c>
      <c r="R55" s="14">
        <v>1</v>
      </c>
      <c r="S55" s="14">
        <v>0</v>
      </c>
      <c r="T55" s="14">
        <v>3</v>
      </c>
      <c r="U55" s="14">
        <v>1</v>
      </c>
      <c r="V55" s="14">
        <v>3</v>
      </c>
      <c r="W55" s="14" t="b">
        <f>TRUE()</f>
        <v>1</v>
      </c>
    </row>
    <row r="56" spans="1:23" x14ac:dyDescent="0.3">
      <c r="A56" s="14">
        <v>55</v>
      </c>
      <c r="B56" s="14" t="s">
        <v>200</v>
      </c>
      <c r="C56" s="14" t="s">
        <v>34</v>
      </c>
      <c r="D56" s="14" t="s">
        <v>84</v>
      </c>
      <c r="E56" s="14">
        <v>14</v>
      </c>
      <c r="F56" s="14">
        <v>37</v>
      </c>
      <c r="G56" s="14" t="str">
        <f>IFERROR(INDEX(Teams!$B$2:$B$49,MATCH($F56,Teams!$A$2:$A$49,0)),"")</f>
        <v>Curaçao</v>
      </c>
      <c r="H56" s="14">
        <v>17</v>
      </c>
      <c r="I56" s="14" t="str">
        <f>IFERROR(INDEX(Teams!$B$2:$B$49,MATCH($H56,Teams!$A$2:$A$49,0)),"")</f>
        <v>Côte d'Ivoire</v>
      </c>
      <c r="J56" s="14">
        <v>0</v>
      </c>
      <c r="K56" s="14">
        <v>2</v>
      </c>
      <c r="L56" s="14" t="s">
        <v>237</v>
      </c>
      <c r="M56" s="14">
        <v>11</v>
      </c>
      <c r="N56" s="14">
        <v>2</v>
      </c>
      <c r="O56" s="14">
        <v>37</v>
      </c>
      <c r="P56" s="14">
        <v>4</v>
      </c>
      <c r="Q56" s="14">
        <v>11</v>
      </c>
      <c r="R56" s="14">
        <v>2</v>
      </c>
      <c r="S56" s="14">
        <v>0</v>
      </c>
      <c r="T56" s="14">
        <v>2</v>
      </c>
      <c r="U56" s="14">
        <v>-2</v>
      </c>
      <c r="V56" s="14">
        <v>0</v>
      </c>
      <c r="W56" s="14" t="b">
        <f>FALSE()</f>
        <v>0</v>
      </c>
    </row>
    <row r="57" spans="1:23" x14ac:dyDescent="0.3">
      <c r="A57" s="14">
        <v>56</v>
      </c>
      <c r="B57" s="14" t="s">
        <v>200</v>
      </c>
      <c r="C57" s="14" t="s">
        <v>34</v>
      </c>
      <c r="D57" s="14" t="s">
        <v>84</v>
      </c>
      <c r="E57" s="14">
        <v>13</v>
      </c>
      <c r="F57" s="14">
        <v>28</v>
      </c>
      <c r="G57" s="14" t="str">
        <f>IFERROR(INDEX(Teams!$B$2:$B$49,MATCH($F57,Teams!$A$2:$A$49,0)),"")</f>
        <v>Ecuador</v>
      </c>
      <c r="H57" s="14">
        <v>7</v>
      </c>
      <c r="I57" s="14" t="str">
        <f>IFERROR(INDEX(Teams!$B$2:$B$49,MATCH($H57,Teams!$A$2:$A$49,0)),"")</f>
        <v>Germany</v>
      </c>
      <c r="J57" s="14">
        <v>2</v>
      </c>
      <c r="K57" s="14">
        <v>1</v>
      </c>
      <c r="L57" s="14" t="s">
        <v>235</v>
      </c>
      <c r="M57" s="14">
        <v>7</v>
      </c>
      <c r="N57" s="14">
        <v>3</v>
      </c>
      <c r="O57" s="14">
        <v>39</v>
      </c>
      <c r="P57" s="14">
        <v>3</v>
      </c>
      <c r="Q57" s="14">
        <v>15</v>
      </c>
      <c r="R57" s="14">
        <v>3</v>
      </c>
      <c r="S57" s="14">
        <v>0</v>
      </c>
      <c r="T57" s="14">
        <v>1</v>
      </c>
      <c r="U57" s="14">
        <v>1</v>
      </c>
      <c r="V57" s="14">
        <v>3</v>
      </c>
      <c r="W57" s="14" t="b">
        <f>FALSE()</f>
        <v>0</v>
      </c>
    </row>
    <row r="58" spans="1:23" x14ac:dyDescent="0.3">
      <c r="A58" s="14">
        <v>57</v>
      </c>
      <c r="B58" s="14" t="s">
        <v>200</v>
      </c>
      <c r="C58" s="14" t="s">
        <v>34</v>
      </c>
      <c r="D58" s="14" t="s">
        <v>90</v>
      </c>
      <c r="E58" s="14">
        <v>8</v>
      </c>
      <c r="F58" s="14">
        <v>20</v>
      </c>
      <c r="G58" s="14" t="str">
        <f>IFERROR(INDEX(Teams!$B$2:$B$49,MATCH($F58,Teams!$A$2:$A$49,0)),"")</f>
        <v>Japan</v>
      </c>
      <c r="H58" s="14">
        <v>35</v>
      </c>
      <c r="I58" s="14" t="str">
        <f>IFERROR(INDEX(Teams!$B$2:$B$49,MATCH($H58,Teams!$A$2:$A$49,0)),"")</f>
        <v>Sweden</v>
      </c>
      <c r="J58" s="14">
        <v>1</v>
      </c>
      <c r="K58" s="14">
        <v>1</v>
      </c>
      <c r="L58" s="14" t="s">
        <v>236</v>
      </c>
      <c r="M58" s="14">
        <v>8</v>
      </c>
      <c r="N58" s="14">
        <v>3</v>
      </c>
      <c r="O58" s="14">
        <v>52</v>
      </c>
      <c r="P58" s="14">
        <v>2</v>
      </c>
      <c r="Q58" s="14">
        <v>20</v>
      </c>
      <c r="R58" s="14">
        <v>1</v>
      </c>
      <c r="S58" s="14">
        <v>0</v>
      </c>
      <c r="T58" s="14">
        <v>3</v>
      </c>
      <c r="U58" s="14">
        <v>0</v>
      </c>
      <c r="V58" s="14">
        <v>1</v>
      </c>
      <c r="W58" s="14" t="b">
        <f>FALSE()</f>
        <v>0</v>
      </c>
    </row>
    <row r="59" spans="1:23" x14ac:dyDescent="0.3">
      <c r="A59" s="14">
        <v>58</v>
      </c>
      <c r="B59" s="14" t="s">
        <v>200</v>
      </c>
      <c r="C59" s="14" t="s">
        <v>34</v>
      </c>
      <c r="D59" s="14" t="s">
        <v>90</v>
      </c>
      <c r="E59" s="14">
        <v>10</v>
      </c>
      <c r="F59" s="14">
        <v>46</v>
      </c>
      <c r="G59" s="14" t="str">
        <f>IFERROR(INDEX(Teams!$B$2:$B$49,MATCH($F59,Teams!$A$2:$A$49,0)),"")</f>
        <v>Tunisia</v>
      </c>
      <c r="H59" s="14">
        <v>9</v>
      </c>
      <c r="I59" s="14" t="str">
        <f>IFERROR(INDEX(Teams!$B$2:$B$49,MATCH($H59,Teams!$A$2:$A$49,0)),"")</f>
        <v>Netherlands</v>
      </c>
      <c r="J59" s="14">
        <v>1</v>
      </c>
      <c r="K59" s="14">
        <v>3</v>
      </c>
      <c r="L59" s="14" t="s">
        <v>237</v>
      </c>
      <c r="M59" s="14">
        <v>10</v>
      </c>
      <c r="N59" s="14">
        <v>4</v>
      </c>
      <c r="O59" s="14">
        <v>29</v>
      </c>
      <c r="P59" s="14">
        <v>4</v>
      </c>
      <c r="Q59" s="14">
        <v>11</v>
      </c>
      <c r="R59" s="14">
        <v>0</v>
      </c>
      <c r="S59" s="14">
        <v>0</v>
      </c>
      <c r="T59" s="14">
        <v>2</v>
      </c>
      <c r="U59" s="14">
        <v>-2</v>
      </c>
      <c r="V59" s="14">
        <v>0</v>
      </c>
      <c r="W59" s="14" t="b">
        <f>FALSE()</f>
        <v>0</v>
      </c>
    </row>
    <row r="60" spans="1:23" x14ac:dyDescent="0.3">
      <c r="A60" s="14">
        <v>59</v>
      </c>
      <c r="B60" s="14" t="s">
        <v>200</v>
      </c>
      <c r="C60" s="14" t="s">
        <v>34</v>
      </c>
      <c r="D60" s="14" t="s">
        <v>98</v>
      </c>
      <c r="E60" s="14">
        <v>11</v>
      </c>
      <c r="F60" s="14">
        <v>47</v>
      </c>
      <c r="G60" s="14" t="str">
        <f>IFERROR(INDEX(Teams!$B$2:$B$49,MATCH($F60,Teams!$A$2:$A$49,0)),"")</f>
        <v>Türkiye</v>
      </c>
      <c r="H60" s="14">
        <v>12</v>
      </c>
      <c r="I60" s="14" t="str">
        <f>IFERROR(INDEX(Teams!$B$2:$B$49,MATCH($H60,Teams!$A$2:$A$49,0)),"")</f>
        <v>USA</v>
      </c>
      <c r="J60" s="14">
        <v>3</v>
      </c>
      <c r="K60" s="14">
        <v>2</v>
      </c>
      <c r="L60" s="14" t="s">
        <v>235</v>
      </c>
      <c r="M60" s="14">
        <v>9</v>
      </c>
      <c r="N60" s="14">
        <v>3</v>
      </c>
      <c r="O60" s="14">
        <v>47</v>
      </c>
      <c r="P60" s="14">
        <v>2</v>
      </c>
      <c r="Q60" s="14">
        <v>13</v>
      </c>
      <c r="R60" s="14">
        <v>0</v>
      </c>
      <c r="S60" s="14">
        <v>0</v>
      </c>
      <c r="T60" s="14">
        <v>2</v>
      </c>
      <c r="U60" s="14">
        <v>1</v>
      </c>
      <c r="V60" s="14">
        <v>3</v>
      </c>
      <c r="W60" s="14" t="b">
        <f>FALSE()</f>
        <v>0</v>
      </c>
    </row>
    <row r="61" spans="1:23" x14ac:dyDescent="0.3">
      <c r="A61" s="14">
        <v>60</v>
      </c>
      <c r="B61" s="14" t="s">
        <v>200</v>
      </c>
      <c r="C61" s="14" t="s">
        <v>34</v>
      </c>
      <c r="D61" s="14" t="s">
        <v>98</v>
      </c>
      <c r="E61" s="14">
        <v>15</v>
      </c>
      <c r="F61" s="14">
        <v>32</v>
      </c>
      <c r="G61" s="14" t="str">
        <f>IFERROR(INDEX(Teams!$B$2:$B$49,MATCH($F61,Teams!$A$2:$A$49,0)),"")</f>
        <v>Paraguay</v>
      </c>
      <c r="H61" s="14">
        <v>13</v>
      </c>
      <c r="I61" s="14" t="str">
        <f>IFERROR(INDEX(Teams!$B$2:$B$49,MATCH($H61,Teams!$A$2:$A$49,0)),"")</f>
        <v>Australia</v>
      </c>
      <c r="J61" s="14">
        <v>0</v>
      </c>
      <c r="K61" s="14">
        <v>0</v>
      </c>
      <c r="L61" s="14" t="s">
        <v>236</v>
      </c>
      <c r="M61" s="14">
        <v>7</v>
      </c>
      <c r="N61" s="14">
        <v>2</v>
      </c>
      <c r="O61" s="14">
        <v>44</v>
      </c>
      <c r="P61" s="14">
        <v>1</v>
      </c>
      <c r="Q61" s="14">
        <v>9</v>
      </c>
      <c r="R61" s="14">
        <v>1</v>
      </c>
      <c r="S61" s="14">
        <v>0</v>
      </c>
      <c r="T61" s="14">
        <v>0</v>
      </c>
      <c r="U61" s="14">
        <v>0</v>
      </c>
      <c r="V61" s="14">
        <v>1</v>
      </c>
      <c r="W61" s="14" t="b">
        <f>TRUE()</f>
        <v>1</v>
      </c>
    </row>
    <row r="62" spans="1:23" x14ac:dyDescent="0.3">
      <c r="A62" s="14">
        <v>61</v>
      </c>
      <c r="B62" s="14" t="s">
        <v>201</v>
      </c>
      <c r="C62" s="14" t="s">
        <v>34</v>
      </c>
      <c r="D62" s="14" t="s">
        <v>81</v>
      </c>
      <c r="E62" s="14">
        <v>7</v>
      </c>
      <c r="F62" s="14">
        <v>22</v>
      </c>
      <c r="G62" s="14" t="str">
        <f>IFERROR(INDEX(Teams!$B$2:$B$49,MATCH($F62,Teams!$A$2:$A$49,0)),"")</f>
        <v>Norway</v>
      </c>
      <c r="H62" s="14">
        <v>6</v>
      </c>
      <c r="I62" s="14" t="str">
        <f>IFERROR(INDEX(Teams!$B$2:$B$49,MATCH($H62,Teams!$A$2:$A$49,0)),"")</f>
        <v>France</v>
      </c>
      <c r="J62" s="14">
        <v>1</v>
      </c>
      <c r="K62" s="14">
        <v>4</v>
      </c>
      <c r="L62" s="14" t="s">
        <v>237</v>
      </c>
      <c r="M62" s="14">
        <v>10</v>
      </c>
      <c r="N62" s="14">
        <v>4</v>
      </c>
      <c r="O62" s="14">
        <v>43</v>
      </c>
      <c r="P62" s="14">
        <v>4</v>
      </c>
      <c r="Q62" s="14">
        <v>9</v>
      </c>
      <c r="R62" s="14">
        <v>1</v>
      </c>
      <c r="S62" s="14">
        <v>0</v>
      </c>
      <c r="T62" s="14">
        <v>1</v>
      </c>
      <c r="U62" s="14">
        <v>-3</v>
      </c>
      <c r="V62" s="14">
        <v>0</v>
      </c>
      <c r="W62" s="14" t="b">
        <f>FALSE()</f>
        <v>0</v>
      </c>
    </row>
    <row r="63" spans="1:23" x14ac:dyDescent="0.3">
      <c r="A63" s="14">
        <v>62</v>
      </c>
      <c r="B63" s="14" t="s">
        <v>201</v>
      </c>
      <c r="C63" s="14" t="s">
        <v>34</v>
      </c>
      <c r="D63" s="14" t="s">
        <v>81</v>
      </c>
      <c r="E63" s="14">
        <v>1</v>
      </c>
      <c r="F63" s="14">
        <v>34</v>
      </c>
      <c r="G63" s="14" t="str">
        <f>IFERROR(INDEX(Teams!$B$2:$B$49,MATCH($F63,Teams!$A$2:$A$49,0)),"")</f>
        <v>Senegal</v>
      </c>
      <c r="H63" s="14">
        <v>40</v>
      </c>
      <c r="I63" s="14" t="str">
        <f>IFERROR(INDEX(Teams!$B$2:$B$49,MATCH($H63,Teams!$A$2:$A$49,0)),"")</f>
        <v>Iraq</v>
      </c>
      <c r="J63" s="14">
        <v>5</v>
      </c>
      <c r="K63" s="14">
        <v>0</v>
      </c>
      <c r="L63" s="14" t="s">
        <v>235</v>
      </c>
      <c r="M63" s="14">
        <v>28</v>
      </c>
      <c r="N63" s="14">
        <v>12</v>
      </c>
      <c r="O63" s="14">
        <v>69</v>
      </c>
      <c r="P63" s="14">
        <v>12</v>
      </c>
      <c r="Q63" s="14">
        <v>10</v>
      </c>
      <c r="R63" s="14">
        <v>2</v>
      </c>
      <c r="S63" s="14">
        <v>0</v>
      </c>
      <c r="T63" s="14">
        <v>1</v>
      </c>
      <c r="U63" s="14">
        <v>5</v>
      </c>
      <c r="V63" s="14">
        <v>3</v>
      </c>
      <c r="W63" s="14" t="b">
        <f>TRUE()</f>
        <v>1</v>
      </c>
    </row>
    <row r="64" spans="1:23" x14ac:dyDescent="0.3">
      <c r="A64" s="14">
        <v>63</v>
      </c>
      <c r="B64" s="14" t="s">
        <v>201</v>
      </c>
      <c r="C64" s="14" t="s">
        <v>34</v>
      </c>
      <c r="D64" s="14" t="s">
        <v>69</v>
      </c>
      <c r="E64" s="14">
        <v>16</v>
      </c>
      <c r="F64" s="14">
        <v>19</v>
      </c>
      <c r="G64" s="14" t="str">
        <f>IFERROR(INDEX(Teams!$B$2:$B$49,MATCH($F64,Teams!$A$2:$A$49,0)),"")</f>
        <v>Egypt</v>
      </c>
      <c r="H64" s="14">
        <v>30</v>
      </c>
      <c r="I64" s="14" t="str">
        <f>IFERROR(INDEX(Teams!$B$2:$B$49,MATCH($H64,Teams!$A$2:$A$49,0)),"")</f>
        <v>IR Iran</v>
      </c>
      <c r="J64" s="14">
        <v>1</v>
      </c>
      <c r="K64" s="14">
        <v>1</v>
      </c>
      <c r="L64" s="14" t="s">
        <v>236</v>
      </c>
      <c r="M64" s="14">
        <v>15</v>
      </c>
      <c r="N64" s="14">
        <v>3</v>
      </c>
      <c r="O64" s="14">
        <v>61</v>
      </c>
      <c r="P64" s="14">
        <v>8</v>
      </c>
      <c r="Q64" s="14">
        <v>11</v>
      </c>
      <c r="R64" s="14">
        <v>3</v>
      </c>
      <c r="S64" s="14">
        <v>0</v>
      </c>
      <c r="T64" s="14">
        <v>0</v>
      </c>
      <c r="U64" s="14">
        <v>0</v>
      </c>
      <c r="V64" s="14">
        <v>1</v>
      </c>
      <c r="W64" s="14" t="b">
        <f>FALSE()</f>
        <v>0</v>
      </c>
    </row>
    <row r="65" spans="1:23" x14ac:dyDescent="0.3">
      <c r="A65" s="14">
        <v>64</v>
      </c>
      <c r="B65" s="14" t="s">
        <v>201</v>
      </c>
      <c r="C65" s="14" t="s">
        <v>34</v>
      </c>
      <c r="D65" s="14" t="s">
        <v>69</v>
      </c>
      <c r="E65" s="14">
        <v>2</v>
      </c>
      <c r="F65" s="14">
        <v>42</v>
      </c>
      <c r="G65" s="14" t="str">
        <f>IFERROR(INDEX(Teams!$B$2:$B$49,MATCH($F65,Teams!$A$2:$A$49,0)),"")</f>
        <v>New Zealand</v>
      </c>
      <c r="H65" s="14">
        <v>2</v>
      </c>
      <c r="I65" s="14" t="str">
        <f>IFERROR(INDEX(Teams!$B$2:$B$49,MATCH($H65,Teams!$A$2:$A$49,0)),"")</f>
        <v>Belgium</v>
      </c>
      <c r="J65" s="14">
        <v>1</v>
      </c>
      <c r="K65" s="14">
        <v>5</v>
      </c>
      <c r="L65" s="14" t="s">
        <v>237</v>
      </c>
      <c r="M65" s="14">
        <v>6</v>
      </c>
      <c r="N65" s="14">
        <v>2</v>
      </c>
      <c r="O65" s="14">
        <v>46</v>
      </c>
      <c r="P65" s="14">
        <v>5</v>
      </c>
      <c r="Q65" s="14">
        <v>10</v>
      </c>
      <c r="R65" s="14">
        <v>2</v>
      </c>
      <c r="S65" s="14">
        <v>0</v>
      </c>
      <c r="T65" s="14">
        <v>1</v>
      </c>
      <c r="U65" s="14">
        <v>-4</v>
      </c>
      <c r="V65" s="14">
        <v>0</v>
      </c>
      <c r="W65" s="14" t="b">
        <f>FALSE()</f>
        <v>0</v>
      </c>
    </row>
    <row r="66" spans="1:23" x14ac:dyDescent="0.3">
      <c r="A66" s="14">
        <v>65</v>
      </c>
      <c r="B66" s="14" t="s">
        <v>201</v>
      </c>
      <c r="C66" s="14" t="s">
        <v>34</v>
      </c>
      <c r="D66" s="14" t="s">
        <v>93</v>
      </c>
      <c r="E66" s="14">
        <v>9</v>
      </c>
      <c r="F66" s="14">
        <v>15</v>
      </c>
      <c r="G66" s="14" t="str">
        <f>IFERROR(INDEX(Teams!$B$2:$B$49,MATCH($F66,Teams!$A$2:$A$49,0)),"")</f>
        <v>Cabo Verde</v>
      </c>
      <c r="H66" s="14">
        <v>45</v>
      </c>
      <c r="I66" s="14" t="str">
        <f>IFERROR(INDEX(Teams!$B$2:$B$49,MATCH($H66,Teams!$A$2:$A$49,0)),"")</f>
        <v>Saudi Arabia</v>
      </c>
      <c r="J66" s="14">
        <v>0</v>
      </c>
      <c r="K66" s="14">
        <v>0</v>
      </c>
      <c r="L66" s="14" t="s">
        <v>236</v>
      </c>
      <c r="M66" s="14">
        <v>15</v>
      </c>
      <c r="N66" s="14">
        <v>2</v>
      </c>
      <c r="O66" s="14">
        <v>51</v>
      </c>
      <c r="P66" s="14">
        <v>4</v>
      </c>
      <c r="Q66" s="14">
        <v>10</v>
      </c>
      <c r="R66" s="14">
        <v>1</v>
      </c>
      <c r="S66" s="14">
        <v>0</v>
      </c>
      <c r="T66" s="14">
        <v>2</v>
      </c>
      <c r="U66" s="14">
        <v>0</v>
      </c>
      <c r="V66" s="14">
        <v>1</v>
      </c>
      <c r="W66" s="14" t="b">
        <f>TRUE()</f>
        <v>1</v>
      </c>
    </row>
    <row r="67" spans="1:23" x14ac:dyDescent="0.3">
      <c r="A67" s="14">
        <v>66</v>
      </c>
      <c r="B67" s="14" t="s">
        <v>201</v>
      </c>
      <c r="C67" s="14" t="s">
        <v>34</v>
      </c>
      <c r="D67" s="14" t="s">
        <v>93</v>
      </c>
      <c r="E67" s="14">
        <v>4</v>
      </c>
      <c r="F67" s="14">
        <v>36</v>
      </c>
      <c r="G67" s="14" t="str">
        <f>IFERROR(INDEX(Teams!$B$2:$B$49,MATCH($F67,Teams!$A$2:$A$49,0)),"")</f>
        <v>Uruguay</v>
      </c>
      <c r="H67" s="14">
        <v>10</v>
      </c>
      <c r="I67" s="14" t="str">
        <f>IFERROR(INDEX(Teams!$B$2:$B$49,MATCH($H67,Teams!$A$2:$A$49,0)),"")</f>
        <v>Spain</v>
      </c>
      <c r="J67" s="14">
        <v>0</v>
      </c>
      <c r="K67" s="14">
        <v>1</v>
      </c>
      <c r="L67" s="14" t="s">
        <v>237</v>
      </c>
      <c r="M67" s="14">
        <v>5</v>
      </c>
      <c r="N67" s="14">
        <v>1</v>
      </c>
      <c r="O67" s="14">
        <v>33</v>
      </c>
      <c r="P67" s="14">
        <v>1</v>
      </c>
      <c r="Q67" s="14">
        <v>14</v>
      </c>
      <c r="R67" s="14">
        <v>3</v>
      </c>
      <c r="S67" s="14">
        <v>1</v>
      </c>
      <c r="T67" s="14">
        <v>5</v>
      </c>
      <c r="U67" s="14">
        <v>-1</v>
      </c>
      <c r="V67" s="14">
        <v>0</v>
      </c>
      <c r="W67" s="14" t="b">
        <f>FALSE()</f>
        <v>0</v>
      </c>
    </row>
    <row r="68" spans="1:23" x14ac:dyDescent="0.3">
      <c r="A68" s="14">
        <v>67</v>
      </c>
      <c r="B68" s="14" t="s">
        <v>202</v>
      </c>
      <c r="C68" s="14" t="s">
        <v>34</v>
      </c>
      <c r="D68" s="14" t="s">
        <v>78</v>
      </c>
      <c r="E68" s="14">
        <v>13</v>
      </c>
      <c r="F68" s="14">
        <v>43</v>
      </c>
      <c r="G68" s="14" t="str">
        <f>IFERROR(INDEX(Teams!$B$2:$B$49,MATCH($F68,Teams!$A$2:$A$49,0)),"")</f>
        <v>Panama</v>
      </c>
      <c r="H68" s="14">
        <v>5</v>
      </c>
      <c r="I68" s="14" t="str">
        <f>IFERROR(INDEX(Teams!$B$2:$B$49,MATCH($H68,Teams!$A$2:$A$49,0)),"")</f>
        <v>England</v>
      </c>
      <c r="J68" s="14">
        <v>0</v>
      </c>
      <c r="K68" s="14">
        <v>2</v>
      </c>
      <c r="L68" s="14" t="s">
        <v>237</v>
      </c>
      <c r="M68" s="14">
        <v>13</v>
      </c>
      <c r="N68" s="14">
        <v>2</v>
      </c>
      <c r="O68" s="14">
        <v>33</v>
      </c>
      <c r="P68" s="14">
        <v>3</v>
      </c>
      <c r="Q68" s="14">
        <v>16</v>
      </c>
      <c r="R68" s="14">
        <v>2</v>
      </c>
      <c r="S68" s="14">
        <v>0</v>
      </c>
      <c r="T68" s="14">
        <v>4</v>
      </c>
      <c r="U68" s="14">
        <v>-2</v>
      </c>
      <c r="V68" s="14">
        <v>0</v>
      </c>
      <c r="W68" s="14" t="b">
        <f>FALSE()</f>
        <v>0</v>
      </c>
    </row>
    <row r="69" spans="1:23" x14ac:dyDescent="0.3">
      <c r="A69" s="14">
        <v>68</v>
      </c>
      <c r="B69" s="14" t="s">
        <v>202</v>
      </c>
      <c r="C69" s="14" t="s">
        <v>34</v>
      </c>
      <c r="D69" s="14" t="s">
        <v>78</v>
      </c>
      <c r="E69" s="14">
        <v>14</v>
      </c>
      <c r="F69" s="14">
        <v>18</v>
      </c>
      <c r="G69" s="14" t="str">
        <f>IFERROR(INDEX(Teams!$B$2:$B$49,MATCH($F69,Teams!$A$2:$A$49,0)),"")</f>
        <v>Croatia</v>
      </c>
      <c r="H69" s="14">
        <v>29</v>
      </c>
      <c r="I69" s="14" t="str">
        <f>IFERROR(INDEX(Teams!$B$2:$B$49,MATCH($H69,Teams!$A$2:$A$49,0)),"")</f>
        <v>Ghana</v>
      </c>
      <c r="J69" s="14">
        <v>2</v>
      </c>
      <c r="K69" s="14">
        <v>1</v>
      </c>
      <c r="L69" s="14" t="s">
        <v>235</v>
      </c>
      <c r="M69" s="14">
        <v>8</v>
      </c>
      <c r="N69" s="14">
        <v>4</v>
      </c>
      <c r="O69" s="14">
        <v>53</v>
      </c>
      <c r="P69" s="14">
        <v>3</v>
      </c>
      <c r="Q69" s="14">
        <v>9</v>
      </c>
      <c r="R69" s="14">
        <v>1</v>
      </c>
      <c r="S69" s="14">
        <v>0</v>
      </c>
      <c r="T69" s="14">
        <v>1</v>
      </c>
      <c r="U69" s="14">
        <v>1</v>
      </c>
      <c r="V69" s="14">
        <v>3</v>
      </c>
      <c r="W69" s="14" t="b">
        <f>FALSE()</f>
        <v>0</v>
      </c>
    </row>
    <row r="70" spans="1:23" x14ac:dyDescent="0.3">
      <c r="A70" s="14">
        <v>69</v>
      </c>
      <c r="B70" s="14" t="s">
        <v>202</v>
      </c>
      <c r="C70" s="14" t="s">
        <v>34</v>
      </c>
      <c r="D70" s="14" t="s">
        <v>66</v>
      </c>
      <c r="E70" s="14">
        <v>10</v>
      </c>
      <c r="F70" s="14">
        <v>25</v>
      </c>
      <c r="G70" s="14" t="str">
        <f>IFERROR(INDEX(Teams!$B$2:$B$49,MATCH($F70,Teams!$A$2:$A$49,0)),"")</f>
        <v>Algeria</v>
      </c>
      <c r="H70" s="14">
        <v>14</v>
      </c>
      <c r="I70" s="14" t="str">
        <f>IFERROR(INDEX(Teams!$B$2:$B$49,MATCH($H70,Teams!$A$2:$A$49,0)),"")</f>
        <v>Austria</v>
      </c>
      <c r="J70" s="14">
        <v>3</v>
      </c>
      <c r="K70" s="14">
        <v>3</v>
      </c>
      <c r="L70" s="14" t="s">
        <v>236</v>
      </c>
      <c r="M70" s="14">
        <v>12</v>
      </c>
      <c r="N70" s="14">
        <v>5</v>
      </c>
      <c r="O70" s="14">
        <v>65</v>
      </c>
      <c r="P70" s="14">
        <v>0</v>
      </c>
      <c r="Q70" s="14">
        <v>3</v>
      </c>
      <c r="R70" s="14">
        <v>0</v>
      </c>
      <c r="S70" s="14">
        <v>0</v>
      </c>
      <c r="T70" s="14">
        <v>1</v>
      </c>
      <c r="U70" s="14">
        <v>0</v>
      </c>
      <c r="V70" s="14">
        <v>1</v>
      </c>
      <c r="W70" s="14" t="b">
        <f>FALSE()</f>
        <v>0</v>
      </c>
    </row>
    <row r="71" spans="1:23" x14ac:dyDescent="0.3">
      <c r="A71" s="14">
        <v>70</v>
      </c>
      <c r="B71" s="14" t="s">
        <v>202</v>
      </c>
      <c r="C71" s="14" t="s">
        <v>34</v>
      </c>
      <c r="D71" s="14" t="s">
        <v>66</v>
      </c>
      <c r="E71" s="14">
        <v>8</v>
      </c>
      <c r="F71" s="14">
        <v>41</v>
      </c>
      <c r="G71" s="14" t="str">
        <f>IFERROR(INDEX(Teams!$B$2:$B$49,MATCH($F71,Teams!$A$2:$A$49,0)),"")</f>
        <v>Jordan</v>
      </c>
      <c r="H71" s="14">
        <v>1</v>
      </c>
      <c r="I71" s="14" t="str">
        <f>IFERROR(INDEX(Teams!$B$2:$B$49,MATCH($H71,Teams!$A$2:$A$49,0)),"")</f>
        <v>Argentina</v>
      </c>
      <c r="J71" s="14">
        <v>1</v>
      </c>
      <c r="K71" s="14">
        <v>3</v>
      </c>
      <c r="L71" s="14" t="s">
        <v>237</v>
      </c>
      <c r="M71" s="14">
        <v>5</v>
      </c>
      <c r="N71" s="14">
        <v>1</v>
      </c>
      <c r="O71" s="14">
        <v>27</v>
      </c>
      <c r="P71" s="14">
        <v>2</v>
      </c>
      <c r="Q71" s="14">
        <v>13</v>
      </c>
      <c r="R71" s="14">
        <v>3</v>
      </c>
      <c r="S71" s="14">
        <v>0</v>
      </c>
      <c r="T71" s="14">
        <v>1</v>
      </c>
      <c r="U71" s="14">
        <v>-2</v>
      </c>
      <c r="V71" s="14">
        <v>0</v>
      </c>
      <c r="W71" s="14" t="b">
        <f>FALSE()</f>
        <v>0</v>
      </c>
    </row>
    <row r="72" spans="1:23" x14ac:dyDescent="0.3">
      <c r="A72" s="14">
        <v>71</v>
      </c>
      <c r="B72" s="14" t="s">
        <v>202</v>
      </c>
      <c r="C72" s="14" t="s">
        <v>34</v>
      </c>
      <c r="D72" s="14" t="s">
        <v>75</v>
      </c>
      <c r="E72" s="14">
        <v>12</v>
      </c>
      <c r="F72" s="14">
        <v>4</v>
      </c>
      <c r="G72" s="14" t="str">
        <f>IFERROR(INDEX(Teams!$B$2:$B$49,MATCH($F72,Teams!$A$2:$A$49,0)),"")</f>
        <v>Colombia</v>
      </c>
      <c r="H72" s="14">
        <v>23</v>
      </c>
      <c r="I72" s="14" t="str">
        <f>IFERROR(INDEX(Teams!$B$2:$B$49,MATCH($H72,Teams!$A$2:$A$49,0)),"")</f>
        <v>Portugal</v>
      </c>
      <c r="J72" s="14">
        <v>0</v>
      </c>
      <c r="K72" s="14">
        <v>0</v>
      </c>
      <c r="L72" s="14" t="s">
        <v>236</v>
      </c>
      <c r="M72" s="14">
        <v>24</v>
      </c>
      <c r="N72" s="14">
        <v>6</v>
      </c>
      <c r="O72" s="14">
        <v>55</v>
      </c>
      <c r="P72" s="14">
        <v>5</v>
      </c>
      <c r="Q72" s="14">
        <v>12</v>
      </c>
      <c r="R72" s="14">
        <v>1</v>
      </c>
      <c r="S72" s="14">
        <v>0</v>
      </c>
      <c r="T72" s="14">
        <v>3</v>
      </c>
      <c r="U72" s="14">
        <v>0</v>
      </c>
      <c r="V72" s="14">
        <v>1</v>
      </c>
      <c r="W72" s="14" t="b">
        <f>TRUE()</f>
        <v>1</v>
      </c>
    </row>
    <row r="73" spans="1:23" x14ac:dyDescent="0.3">
      <c r="A73" s="14">
        <v>72</v>
      </c>
      <c r="B73" s="14" t="s">
        <v>202</v>
      </c>
      <c r="C73" s="14" t="s">
        <v>34</v>
      </c>
      <c r="D73" s="14" t="s">
        <v>75</v>
      </c>
      <c r="E73" s="14">
        <v>6</v>
      </c>
      <c r="F73" s="14">
        <v>27</v>
      </c>
      <c r="G73" s="14" t="str">
        <f>IFERROR(INDEX(Teams!$B$2:$B$49,MATCH($F73,Teams!$A$2:$A$49,0)),"")</f>
        <v>Congo DR</v>
      </c>
      <c r="H73" s="14">
        <v>48</v>
      </c>
      <c r="I73" s="14" t="str">
        <f>IFERROR(INDEX(Teams!$B$2:$B$49,MATCH($H73,Teams!$A$2:$A$49,0)),"")</f>
        <v>Uzbekistan</v>
      </c>
      <c r="J73" s="14">
        <v>3</v>
      </c>
      <c r="K73" s="14">
        <v>1</v>
      </c>
      <c r="L73" s="14" t="s">
        <v>235</v>
      </c>
      <c r="M73" s="14">
        <v>19</v>
      </c>
      <c r="N73" s="14">
        <v>4</v>
      </c>
      <c r="O73" s="14">
        <v>58</v>
      </c>
      <c r="P73" s="14">
        <v>2</v>
      </c>
      <c r="Q73" s="14">
        <v>6</v>
      </c>
      <c r="R73" s="14">
        <v>3</v>
      </c>
      <c r="S73" s="14">
        <v>0</v>
      </c>
      <c r="T73" s="14">
        <v>3</v>
      </c>
      <c r="U73" s="14">
        <v>2</v>
      </c>
      <c r="V73" s="14">
        <v>3</v>
      </c>
      <c r="W73" s="14" t="b">
        <f>FALSE()</f>
        <v>0</v>
      </c>
    </row>
    <row r="74" spans="1:23" x14ac:dyDescent="0.3">
      <c r="A74" s="14">
        <v>73</v>
      </c>
      <c r="B74" s="14" t="s">
        <v>203</v>
      </c>
      <c r="C74" s="14" t="s">
        <v>35</v>
      </c>
      <c r="D74" s="14"/>
      <c r="E74" s="14">
        <v>11</v>
      </c>
      <c r="F74" s="14">
        <v>24</v>
      </c>
      <c r="G74" s="14" t="str">
        <f>IFERROR(INDEX(Teams!$B$2:$B$49,MATCH($F74,Teams!$A$2:$A$49,0)),"")</f>
        <v>South Africa</v>
      </c>
      <c r="H74" s="14">
        <v>16</v>
      </c>
      <c r="I74" s="14" t="str">
        <f>IFERROR(INDEX(Teams!$B$2:$B$49,MATCH($H74,Teams!$A$2:$A$49,0)),"")</f>
        <v>Canada</v>
      </c>
      <c r="J74" s="14">
        <v>0</v>
      </c>
      <c r="K74" s="14">
        <v>1</v>
      </c>
      <c r="L74" s="14" t="s">
        <v>237</v>
      </c>
      <c r="M74" s="14">
        <v>6</v>
      </c>
      <c r="N74" s="14">
        <v>1</v>
      </c>
      <c r="O74" s="14">
        <v>58</v>
      </c>
      <c r="P74" s="14">
        <v>1</v>
      </c>
      <c r="Q74" s="14">
        <v>10</v>
      </c>
      <c r="R74" s="14">
        <v>0</v>
      </c>
      <c r="S74" s="14">
        <v>0</v>
      </c>
      <c r="T74" s="14">
        <v>1</v>
      </c>
      <c r="U74" s="14">
        <v>-1</v>
      </c>
      <c r="V74" s="14">
        <v>0</v>
      </c>
      <c r="W74" s="14" t="b">
        <f>FALSE()</f>
        <v>0</v>
      </c>
    </row>
    <row r="75" spans="1:23" x14ac:dyDescent="0.3">
      <c r="A75" s="14">
        <v>74</v>
      </c>
      <c r="B75" s="14" t="s">
        <v>204</v>
      </c>
      <c r="C75" s="14" t="s">
        <v>35</v>
      </c>
      <c r="D75" s="14"/>
      <c r="E75" s="14">
        <v>7</v>
      </c>
      <c r="F75" s="14">
        <v>7</v>
      </c>
      <c r="G75" s="14" t="str">
        <f>IFERROR(INDEX(Teams!$B$2:$B$49,MATCH($F75,Teams!$A$2:$A$49,0)),"")</f>
        <v>Germany</v>
      </c>
      <c r="H75" s="14">
        <v>32</v>
      </c>
      <c r="I75" s="14" t="str">
        <f>IFERROR(INDEX(Teams!$B$2:$B$49,MATCH($H75,Teams!$A$2:$A$49,0)),"")</f>
        <v>Paraguay</v>
      </c>
      <c r="J75" s="14">
        <v>1</v>
      </c>
      <c r="K75" s="14">
        <v>1</v>
      </c>
      <c r="L75" s="14" t="s">
        <v>236</v>
      </c>
      <c r="M75" s="14">
        <v>21</v>
      </c>
      <c r="N75" s="14">
        <v>6</v>
      </c>
      <c r="O75" s="14">
        <v>76</v>
      </c>
      <c r="P75" s="14">
        <v>16</v>
      </c>
      <c r="Q75" s="14">
        <v>18</v>
      </c>
      <c r="R75" s="14">
        <v>2</v>
      </c>
      <c r="S75" s="14">
        <v>0</v>
      </c>
      <c r="T75" s="14">
        <v>4</v>
      </c>
      <c r="U75" s="14">
        <v>0</v>
      </c>
      <c r="V75" s="14">
        <v>1</v>
      </c>
      <c r="W75" s="14" t="b">
        <f>FALSE()</f>
        <v>0</v>
      </c>
    </row>
    <row r="76" spans="1:23" x14ac:dyDescent="0.3">
      <c r="A76" s="14">
        <v>75</v>
      </c>
      <c r="B76" s="14" t="s">
        <v>204</v>
      </c>
      <c r="C76" s="14" t="s">
        <v>35</v>
      </c>
      <c r="D76" s="14"/>
      <c r="E76" s="14">
        <v>5</v>
      </c>
      <c r="F76" s="14">
        <v>9</v>
      </c>
      <c r="G76" s="14" t="str">
        <f>IFERROR(INDEX(Teams!$B$2:$B$49,MATCH($F76,Teams!$A$2:$A$49,0)),"")</f>
        <v>Netherlands</v>
      </c>
      <c r="H76" s="14">
        <v>21</v>
      </c>
      <c r="I76" s="14" t="str">
        <f>IFERROR(INDEX(Teams!$B$2:$B$49,MATCH($H76,Teams!$A$2:$A$49,0)),"")</f>
        <v>Morocco</v>
      </c>
      <c r="J76" s="14">
        <v>1</v>
      </c>
      <c r="K76" s="14">
        <v>1</v>
      </c>
      <c r="L76" s="14" t="s">
        <v>236</v>
      </c>
      <c r="M76" s="14">
        <v>6</v>
      </c>
      <c r="N76" s="14">
        <v>2</v>
      </c>
      <c r="O76" s="14">
        <v>30</v>
      </c>
      <c r="P76" s="14">
        <v>5</v>
      </c>
      <c r="Q76" s="14">
        <v>18</v>
      </c>
      <c r="R76" s="14">
        <v>0</v>
      </c>
      <c r="S76" s="14">
        <v>0</v>
      </c>
      <c r="T76" s="14">
        <v>3</v>
      </c>
      <c r="U76" s="14">
        <v>0</v>
      </c>
      <c r="V76" s="14">
        <v>1</v>
      </c>
      <c r="W76" s="14" t="b">
        <f>FALSE()</f>
        <v>0</v>
      </c>
    </row>
    <row r="77" spans="1:23" x14ac:dyDescent="0.3">
      <c r="A77" s="14">
        <v>76</v>
      </c>
      <c r="B77" s="14" t="s">
        <v>204</v>
      </c>
      <c r="C77" s="14" t="s">
        <v>35</v>
      </c>
      <c r="D77" s="14"/>
      <c r="E77" s="14">
        <v>9</v>
      </c>
      <c r="F77" s="14">
        <v>3</v>
      </c>
      <c r="G77" s="14" t="str">
        <f>IFERROR(INDEX(Teams!$B$2:$B$49,MATCH($F77,Teams!$A$2:$A$49,0)),"")</f>
        <v>Brazil</v>
      </c>
      <c r="H77" s="14">
        <v>20</v>
      </c>
      <c r="I77" s="14" t="str">
        <f>IFERROR(INDEX(Teams!$B$2:$B$49,MATCH($H77,Teams!$A$2:$A$49,0)),"")</f>
        <v>Japan</v>
      </c>
      <c r="J77" s="14">
        <v>2</v>
      </c>
      <c r="K77" s="14">
        <v>1</v>
      </c>
      <c r="L77" s="14" t="s">
        <v>235</v>
      </c>
      <c r="M77" s="14">
        <v>19</v>
      </c>
      <c r="N77" s="14">
        <v>7</v>
      </c>
      <c r="O77" s="14">
        <v>69</v>
      </c>
      <c r="P77" s="14">
        <v>6</v>
      </c>
      <c r="Q77" s="14">
        <v>4</v>
      </c>
      <c r="R77" s="14">
        <v>2</v>
      </c>
      <c r="S77" s="14">
        <v>0</v>
      </c>
      <c r="T77" s="14">
        <v>1</v>
      </c>
      <c r="U77" s="14">
        <v>1</v>
      </c>
      <c r="V77" s="14">
        <v>3</v>
      </c>
      <c r="W77" s="14" t="b">
        <f>FALSE()</f>
        <v>0</v>
      </c>
    </row>
    <row r="78" spans="1:23" x14ac:dyDescent="0.3">
      <c r="A78" s="14">
        <v>77</v>
      </c>
      <c r="B78" s="14" t="s">
        <v>205</v>
      </c>
      <c r="C78" s="14" t="s">
        <v>35</v>
      </c>
      <c r="D78" s="14"/>
      <c r="E78" s="14">
        <v>13</v>
      </c>
      <c r="F78" s="14">
        <v>6</v>
      </c>
      <c r="G78" s="14" t="str">
        <f>IFERROR(INDEX(Teams!$B$2:$B$49,MATCH($F78,Teams!$A$2:$A$49,0)),"")</f>
        <v>France</v>
      </c>
      <c r="H78" s="14">
        <v>35</v>
      </c>
      <c r="I78" s="14" t="str">
        <f>IFERROR(INDEX(Teams!$B$2:$B$49,MATCH($H78,Teams!$A$2:$A$49,0)),"")</f>
        <v>Sweden</v>
      </c>
      <c r="J78" s="14">
        <v>3</v>
      </c>
      <c r="K78" s="14">
        <v>0</v>
      </c>
      <c r="L78" s="14" t="s">
        <v>235</v>
      </c>
      <c r="M78" s="14">
        <v>25</v>
      </c>
      <c r="N78" s="14">
        <v>12</v>
      </c>
      <c r="O78" s="14">
        <v>61</v>
      </c>
      <c r="P78" s="14">
        <v>9</v>
      </c>
      <c r="Q78" s="14">
        <v>14</v>
      </c>
      <c r="R78" s="14">
        <v>0</v>
      </c>
      <c r="S78" s="14">
        <v>0</v>
      </c>
      <c r="T78" s="14">
        <v>3</v>
      </c>
      <c r="U78" s="14">
        <v>3</v>
      </c>
      <c r="V78" s="14">
        <v>3</v>
      </c>
      <c r="W78" s="14" t="b">
        <f>TRUE()</f>
        <v>1</v>
      </c>
    </row>
    <row r="79" spans="1:23" x14ac:dyDescent="0.3">
      <c r="A79" s="14">
        <v>78</v>
      </c>
      <c r="B79" s="14" t="s">
        <v>205</v>
      </c>
      <c r="C79" s="14" t="s">
        <v>35</v>
      </c>
      <c r="D79" s="14"/>
      <c r="E79" s="14">
        <v>8</v>
      </c>
      <c r="F79" s="14">
        <v>17</v>
      </c>
      <c r="G79" s="14" t="str">
        <f>IFERROR(INDEX(Teams!$B$2:$B$49,MATCH($F79,Teams!$A$2:$A$49,0)),"")</f>
        <v>Côte d'Ivoire</v>
      </c>
      <c r="H79" s="14">
        <v>22</v>
      </c>
      <c r="I79" s="14" t="str">
        <f>IFERROR(INDEX(Teams!$B$2:$B$49,MATCH($H79,Teams!$A$2:$A$49,0)),"")</f>
        <v>Norway</v>
      </c>
      <c r="J79" s="14">
        <v>1</v>
      </c>
      <c r="K79" s="14">
        <v>2</v>
      </c>
      <c r="L79" s="14" t="s">
        <v>237</v>
      </c>
      <c r="M79" s="14">
        <v>14</v>
      </c>
      <c r="N79" s="14">
        <v>5</v>
      </c>
      <c r="O79" s="14">
        <v>47</v>
      </c>
      <c r="P79" s="14">
        <v>14</v>
      </c>
      <c r="Q79" s="14">
        <v>6</v>
      </c>
      <c r="R79" s="14">
        <v>0</v>
      </c>
      <c r="S79" s="14">
        <v>0</v>
      </c>
      <c r="T79" s="14">
        <v>2</v>
      </c>
      <c r="U79" s="14">
        <v>-1</v>
      </c>
      <c r="V79" s="14">
        <v>0</v>
      </c>
      <c r="W79" s="14" t="b">
        <f>FALSE()</f>
        <v>0</v>
      </c>
    </row>
    <row r="80" spans="1:23" x14ac:dyDescent="0.3">
      <c r="A80" s="14">
        <v>79</v>
      </c>
      <c r="B80" s="14" t="s">
        <v>205</v>
      </c>
      <c r="C80" s="14" t="s">
        <v>35</v>
      </c>
      <c r="D80" s="14"/>
      <c r="E80" s="14">
        <v>3</v>
      </c>
      <c r="F80" s="14">
        <v>8</v>
      </c>
      <c r="G80" s="14" t="str">
        <f>IFERROR(INDEX(Teams!$B$2:$B$49,MATCH($F80,Teams!$A$2:$A$49,0)),"")</f>
        <v>Mexico</v>
      </c>
      <c r="H80" s="14">
        <v>28</v>
      </c>
      <c r="I80" s="14" t="str">
        <f>IFERROR(INDEX(Teams!$B$2:$B$49,MATCH($H80,Teams!$A$2:$A$49,0)),"")</f>
        <v>Ecuador</v>
      </c>
      <c r="J80" s="14">
        <v>2</v>
      </c>
      <c r="K80" s="14">
        <v>0</v>
      </c>
      <c r="L80" s="14" t="s">
        <v>235</v>
      </c>
      <c r="M80" s="14">
        <v>15</v>
      </c>
      <c r="N80" s="14">
        <v>3</v>
      </c>
      <c r="O80" s="14">
        <v>43</v>
      </c>
      <c r="P80" s="14">
        <v>3</v>
      </c>
      <c r="Q80" s="14">
        <v>10</v>
      </c>
      <c r="R80" s="14">
        <v>0</v>
      </c>
      <c r="S80" s="14">
        <v>0</v>
      </c>
      <c r="T80" s="14">
        <v>0</v>
      </c>
      <c r="U80" s="14">
        <v>2</v>
      </c>
      <c r="V80" s="14">
        <v>3</v>
      </c>
      <c r="W80" s="14" t="b">
        <f>TRUE()</f>
        <v>1</v>
      </c>
    </row>
    <row r="81" spans="1:23" x14ac:dyDescent="0.3">
      <c r="A81" s="14">
        <v>80</v>
      </c>
      <c r="B81" s="14" t="s">
        <v>206</v>
      </c>
      <c r="C81" s="14" t="s">
        <v>35</v>
      </c>
      <c r="D81" s="14"/>
      <c r="E81" s="14">
        <v>6</v>
      </c>
      <c r="F81" s="14">
        <v>5</v>
      </c>
      <c r="G81" s="14" t="str">
        <f>IFERROR(INDEX(Teams!$B$2:$B$49,MATCH($F81,Teams!$A$2:$A$49,0)),"")</f>
        <v>England</v>
      </c>
      <c r="H81" s="14">
        <v>27</v>
      </c>
      <c r="I81" s="14" t="str">
        <f>IFERROR(INDEX(Teams!$B$2:$B$49,MATCH($H81,Teams!$A$2:$A$49,0)),"")</f>
        <v>Congo DR</v>
      </c>
      <c r="J81" s="14">
        <v>2</v>
      </c>
      <c r="K81" s="14">
        <v>1</v>
      </c>
      <c r="L81" s="14" t="s">
        <v>235</v>
      </c>
      <c r="M81" s="14">
        <v>16</v>
      </c>
      <c r="N81" s="14">
        <v>7</v>
      </c>
      <c r="O81" s="14">
        <v>60</v>
      </c>
      <c r="P81" s="14">
        <v>5</v>
      </c>
      <c r="Q81" s="14">
        <v>10</v>
      </c>
      <c r="R81" s="14">
        <v>1</v>
      </c>
      <c r="S81" s="14">
        <v>0</v>
      </c>
      <c r="T81" s="14">
        <v>0</v>
      </c>
      <c r="U81" s="14">
        <v>1</v>
      </c>
      <c r="V81" s="14">
        <v>3</v>
      </c>
      <c r="W81" s="14" t="b">
        <f>FALSE()</f>
        <v>0</v>
      </c>
    </row>
    <row r="82" spans="1:23" x14ac:dyDescent="0.3">
      <c r="A82" s="14">
        <v>81</v>
      </c>
      <c r="B82" s="14" t="s">
        <v>206</v>
      </c>
      <c r="C82" s="14" t="s">
        <v>35</v>
      </c>
      <c r="D82" s="14"/>
      <c r="E82" s="14">
        <v>15</v>
      </c>
      <c r="F82" s="14">
        <v>12</v>
      </c>
      <c r="G82" s="14" t="str">
        <f>IFERROR(INDEX(Teams!$B$2:$B$49,MATCH($F82,Teams!$A$2:$A$49,0)),"")</f>
        <v>USA</v>
      </c>
      <c r="H82" s="14">
        <v>26</v>
      </c>
      <c r="I82" s="14" t="str">
        <f>IFERROR(INDEX(Teams!$B$2:$B$49,MATCH($H82,Teams!$A$2:$A$49,0)),"")</f>
        <v>Bosnia and Herzegovina</v>
      </c>
      <c r="J82" s="14">
        <v>2</v>
      </c>
      <c r="K82" s="14">
        <v>0</v>
      </c>
      <c r="L82" s="14" t="s">
        <v>235</v>
      </c>
      <c r="M82" s="14">
        <v>8</v>
      </c>
      <c r="N82" s="14">
        <v>2</v>
      </c>
      <c r="O82" s="14">
        <v>48</v>
      </c>
      <c r="P82" s="14">
        <v>4</v>
      </c>
      <c r="Q82" s="14">
        <v>7</v>
      </c>
      <c r="R82" s="14">
        <v>0</v>
      </c>
      <c r="S82" s="14">
        <v>1</v>
      </c>
      <c r="T82" s="14">
        <v>3</v>
      </c>
      <c r="U82" s="14">
        <v>2</v>
      </c>
      <c r="V82" s="14">
        <v>3</v>
      </c>
      <c r="W82" s="14" t="b">
        <f>TRUE()</f>
        <v>1</v>
      </c>
    </row>
    <row r="83" spans="1:23" x14ac:dyDescent="0.3">
      <c r="A83" s="14">
        <v>82</v>
      </c>
      <c r="B83" s="14" t="s">
        <v>206</v>
      </c>
      <c r="C83" s="14" t="s">
        <v>35</v>
      </c>
      <c r="D83" s="14"/>
      <c r="E83" s="14">
        <v>16</v>
      </c>
      <c r="F83" s="14">
        <v>2</v>
      </c>
      <c r="G83" s="14" t="str">
        <f>IFERROR(INDEX(Teams!$B$2:$B$49,MATCH($F83,Teams!$A$2:$A$49,0)),"")</f>
        <v>Belgium</v>
      </c>
      <c r="H83" s="14">
        <v>34</v>
      </c>
      <c r="I83" s="14" t="str">
        <f>IFERROR(INDEX(Teams!$B$2:$B$49,MATCH($H83,Teams!$A$2:$A$49,0)),"")</f>
        <v>Senegal</v>
      </c>
      <c r="J83" s="14">
        <v>3</v>
      </c>
      <c r="K83" s="14">
        <v>2</v>
      </c>
      <c r="L83" s="14" t="s">
        <v>235</v>
      </c>
      <c r="M83" s="14">
        <v>19</v>
      </c>
      <c r="N83" s="14">
        <v>5</v>
      </c>
      <c r="O83" s="14">
        <v>52</v>
      </c>
      <c r="P83" s="14">
        <v>4</v>
      </c>
      <c r="Q83" s="14">
        <v>22</v>
      </c>
      <c r="R83" s="14">
        <v>1</v>
      </c>
      <c r="S83" s="14">
        <v>0</v>
      </c>
      <c r="T83" s="14">
        <v>2</v>
      </c>
      <c r="U83" s="14">
        <v>1</v>
      </c>
      <c r="V83" s="14">
        <v>3</v>
      </c>
      <c r="W83" s="14" t="b">
        <f>FALSE()</f>
        <v>0</v>
      </c>
    </row>
    <row r="84" spans="1:23" x14ac:dyDescent="0.3">
      <c r="A84" s="14">
        <v>83</v>
      </c>
      <c r="B84" s="14" t="s">
        <v>207</v>
      </c>
      <c r="C84" s="14" t="s">
        <v>35</v>
      </c>
      <c r="D84" s="14"/>
      <c r="E84" s="14">
        <v>1</v>
      </c>
      <c r="F84" s="14">
        <v>23</v>
      </c>
      <c r="G84" s="14" t="str">
        <f>IFERROR(INDEX(Teams!$B$2:$B$49,MATCH($F84,Teams!$A$2:$A$49,0)),"")</f>
        <v>Portugal</v>
      </c>
      <c r="H84" s="14">
        <v>18</v>
      </c>
      <c r="I84" s="14" t="str">
        <f>IFERROR(INDEX(Teams!$B$2:$B$49,MATCH($H84,Teams!$A$2:$A$49,0)),"")</f>
        <v>Croatia</v>
      </c>
      <c r="J84" s="14">
        <v>2</v>
      </c>
      <c r="K84" s="14">
        <v>1</v>
      </c>
      <c r="L84" s="14" t="s">
        <v>235</v>
      </c>
      <c r="M84" s="14">
        <v>15</v>
      </c>
      <c r="N84" s="14">
        <v>3</v>
      </c>
      <c r="O84" s="14">
        <v>60</v>
      </c>
      <c r="P84" s="14">
        <v>9</v>
      </c>
      <c r="Q84" s="14">
        <v>6</v>
      </c>
      <c r="R84" s="14">
        <v>1</v>
      </c>
      <c r="S84" s="14">
        <v>0</v>
      </c>
      <c r="T84" s="14">
        <v>1</v>
      </c>
      <c r="U84" s="14">
        <v>1</v>
      </c>
      <c r="V84" s="14">
        <v>3</v>
      </c>
      <c r="W84" s="14" t="b">
        <f>FALSE()</f>
        <v>0</v>
      </c>
    </row>
    <row r="85" spans="1:23" x14ac:dyDescent="0.3">
      <c r="A85" s="14">
        <v>84</v>
      </c>
      <c r="B85" s="14" t="s">
        <v>207</v>
      </c>
      <c r="C85" s="14" t="s">
        <v>35</v>
      </c>
      <c r="D85" s="14"/>
      <c r="E85" s="14">
        <v>11</v>
      </c>
      <c r="F85" s="14">
        <v>10</v>
      </c>
      <c r="G85" s="14" t="str">
        <f>IFERROR(INDEX(Teams!$B$2:$B$49,MATCH($F85,Teams!$A$2:$A$49,0)),"")</f>
        <v>Spain</v>
      </c>
      <c r="H85" s="14">
        <v>14</v>
      </c>
      <c r="I85" s="14" t="str">
        <f>IFERROR(INDEX(Teams!$B$2:$B$49,MATCH($H85,Teams!$A$2:$A$49,0)),"")</f>
        <v>Austria</v>
      </c>
      <c r="J85" s="14">
        <v>3</v>
      </c>
      <c r="K85" s="14">
        <v>0</v>
      </c>
      <c r="L85" s="14" t="s">
        <v>235</v>
      </c>
      <c r="M85" s="14">
        <v>23</v>
      </c>
      <c r="N85" s="14">
        <v>10</v>
      </c>
      <c r="O85" s="14">
        <v>64</v>
      </c>
      <c r="P85" s="14">
        <v>9</v>
      </c>
      <c r="Q85" s="14">
        <v>8</v>
      </c>
      <c r="R85" s="14">
        <v>0</v>
      </c>
      <c r="S85" s="14">
        <v>0</v>
      </c>
      <c r="T85" s="14">
        <v>2</v>
      </c>
      <c r="U85" s="14">
        <v>3</v>
      </c>
      <c r="V85" s="14">
        <v>3</v>
      </c>
      <c r="W85" s="14" t="b">
        <f>TRUE()</f>
        <v>1</v>
      </c>
    </row>
    <row r="86" spans="1:23" x14ac:dyDescent="0.3">
      <c r="A86" s="14">
        <v>85</v>
      </c>
      <c r="B86" s="14" t="s">
        <v>207</v>
      </c>
      <c r="C86" s="14" t="s">
        <v>35</v>
      </c>
      <c r="D86" s="14"/>
      <c r="E86" s="14">
        <v>2</v>
      </c>
      <c r="F86" s="14">
        <v>11</v>
      </c>
      <c r="G86" s="14" t="str">
        <f>IFERROR(INDEX(Teams!$B$2:$B$49,MATCH($F86,Teams!$A$2:$A$49,0)),"")</f>
        <v>Switzerland</v>
      </c>
      <c r="H86" s="14">
        <v>25</v>
      </c>
      <c r="I86" s="14" t="str">
        <f>IFERROR(INDEX(Teams!$B$2:$B$49,MATCH($H86,Teams!$A$2:$A$49,0)),"")</f>
        <v>Algeria</v>
      </c>
      <c r="J86" s="14">
        <v>2</v>
      </c>
      <c r="K86" s="14">
        <v>0</v>
      </c>
      <c r="L86" s="14" t="s">
        <v>235</v>
      </c>
      <c r="M86" s="14">
        <v>11</v>
      </c>
      <c r="N86" s="14">
        <v>5</v>
      </c>
      <c r="O86" s="14">
        <v>45</v>
      </c>
      <c r="P86" s="14">
        <v>4</v>
      </c>
      <c r="Q86" s="14">
        <v>10</v>
      </c>
      <c r="R86" s="14">
        <v>0</v>
      </c>
      <c r="S86" s="14">
        <v>0</v>
      </c>
      <c r="T86" s="14">
        <v>0</v>
      </c>
      <c r="U86" s="14">
        <v>2</v>
      </c>
      <c r="V86" s="14">
        <v>3</v>
      </c>
      <c r="W86" s="14" t="b">
        <f>TRUE()</f>
        <v>1</v>
      </c>
    </row>
    <row r="87" spans="1:23" x14ac:dyDescent="0.3">
      <c r="A87" s="14">
        <v>86</v>
      </c>
      <c r="B87" s="14" t="s">
        <v>208</v>
      </c>
      <c r="C87" s="14" t="s">
        <v>35</v>
      </c>
      <c r="D87" s="14"/>
      <c r="E87" s="14">
        <v>12</v>
      </c>
      <c r="F87" s="14">
        <v>1</v>
      </c>
      <c r="G87" s="14" t="str">
        <f>IFERROR(INDEX(Teams!$B$2:$B$49,MATCH($F87,Teams!$A$2:$A$49,0)),"")</f>
        <v>Argentina</v>
      </c>
      <c r="H87" s="14">
        <v>15</v>
      </c>
      <c r="I87" s="14" t="str">
        <f>IFERROR(INDEX(Teams!$B$2:$B$49,MATCH($H87,Teams!$A$2:$A$49,0)),"")</f>
        <v>Cabo Verde</v>
      </c>
      <c r="J87" s="14">
        <v>3</v>
      </c>
      <c r="K87" s="14">
        <v>2</v>
      </c>
      <c r="L87" s="14" t="s">
        <v>235</v>
      </c>
      <c r="M87" s="14">
        <v>22</v>
      </c>
      <c r="N87" s="14">
        <v>10</v>
      </c>
      <c r="O87" s="14">
        <v>64</v>
      </c>
      <c r="P87" s="14">
        <v>8</v>
      </c>
      <c r="Q87" s="14">
        <v>13</v>
      </c>
      <c r="R87" s="14">
        <v>1</v>
      </c>
      <c r="S87" s="14">
        <v>0</v>
      </c>
      <c r="T87" s="14">
        <v>3</v>
      </c>
      <c r="U87" s="14">
        <v>1</v>
      </c>
      <c r="V87" s="14">
        <v>3</v>
      </c>
      <c r="W87" s="14" t="b">
        <f>FALSE()</f>
        <v>0</v>
      </c>
    </row>
    <row r="88" spans="1:23" x14ac:dyDescent="0.3">
      <c r="A88" s="14">
        <v>87</v>
      </c>
      <c r="B88" s="14" t="s">
        <v>208</v>
      </c>
      <c r="C88" s="14" t="s">
        <v>35</v>
      </c>
      <c r="D88" s="14"/>
      <c r="E88" s="14">
        <v>10</v>
      </c>
      <c r="F88" s="14">
        <v>4</v>
      </c>
      <c r="G88" s="14" t="str">
        <f>IFERROR(INDEX(Teams!$B$2:$B$49,MATCH($F88,Teams!$A$2:$A$49,0)),"")</f>
        <v>Colombia</v>
      </c>
      <c r="H88" s="14">
        <v>29</v>
      </c>
      <c r="I88" s="14" t="str">
        <f>IFERROR(INDEX(Teams!$B$2:$B$49,MATCH($H88,Teams!$A$2:$A$49,0)),"")</f>
        <v>Ghana</v>
      </c>
      <c r="J88" s="14">
        <v>1</v>
      </c>
      <c r="K88" s="14">
        <v>0</v>
      </c>
      <c r="L88" s="14" t="s">
        <v>235</v>
      </c>
      <c r="M88" s="14">
        <v>20</v>
      </c>
      <c r="N88" s="14">
        <v>8</v>
      </c>
      <c r="O88" s="14">
        <v>61</v>
      </c>
      <c r="P88" s="14">
        <v>3</v>
      </c>
      <c r="Q88" s="14">
        <v>14</v>
      </c>
      <c r="R88" s="14">
        <v>2</v>
      </c>
      <c r="S88" s="14">
        <v>0</v>
      </c>
      <c r="T88" s="14">
        <v>2</v>
      </c>
      <c r="U88" s="14">
        <v>1</v>
      </c>
      <c r="V88" s="14">
        <v>3</v>
      </c>
      <c r="W88" s="14" t="b">
        <f>TRUE()</f>
        <v>1</v>
      </c>
    </row>
    <row r="89" spans="1:23" x14ac:dyDescent="0.3">
      <c r="A89" s="14">
        <v>88</v>
      </c>
      <c r="B89" s="14" t="s">
        <v>208</v>
      </c>
      <c r="C89" s="14" t="s">
        <v>35</v>
      </c>
      <c r="D89" s="14"/>
      <c r="E89" s="14">
        <v>8</v>
      </c>
      <c r="F89" s="14">
        <v>13</v>
      </c>
      <c r="G89" s="14" t="str">
        <f>IFERROR(INDEX(Teams!$B$2:$B$49,MATCH($F89,Teams!$A$2:$A$49,0)),"")</f>
        <v>Australia</v>
      </c>
      <c r="H89" s="14">
        <v>19</v>
      </c>
      <c r="I89" s="14" t="str">
        <f>IFERROR(INDEX(Teams!$B$2:$B$49,MATCH($H89,Teams!$A$2:$A$49,0)),"")</f>
        <v>Egypt</v>
      </c>
      <c r="J89" s="14">
        <v>1</v>
      </c>
      <c r="K89" s="14">
        <v>1</v>
      </c>
      <c r="L89" s="14" t="s">
        <v>236</v>
      </c>
      <c r="M89" s="14">
        <v>16</v>
      </c>
      <c r="N89" s="14">
        <v>1</v>
      </c>
      <c r="O89" s="14">
        <v>42</v>
      </c>
      <c r="P89" s="14">
        <v>4</v>
      </c>
      <c r="Q89" s="14">
        <v>12</v>
      </c>
      <c r="R89" s="14">
        <v>0</v>
      </c>
      <c r="S89" s="14">
        <v>0</v>
      </c>
      <c r="T89" s="14">
        <v>0</v>
      </c>
      <c r="U89" s="14">
        <v>0</v>
      </c>
      <c r="V89" s="14">
        <v>1</v>
      </c>
      <c r="W89" s="14" t="b">
        <f>FALSE()</f>
        <v>0</v>
      </c>
    </row>
    <row r="90" spans="1:23" x14ac:dyDescent="0.3">
      <c r="A90" s="14">
        <v>89</v>
      </c>
      <c r="B90" s="14" t="s">
        <v>209</v>
      </c>
      <c r="C90" s="14" t="s">
        <v>36</v>
      </c>
      <c r="D90" s="14"/>
      <c r="E90" s="14">
        <v>14</v>
      </c>
      <c r="F90" s="14">
        <v>32</v>
      </c>
      <c r="G90" s="14" t="str">
        <f>IFERROR(INDEX(Teams!$B$2:$B$49,MATCH($F90,Teams!$A$2:$A$49,0)),"")</f>
        <v>Paraguay</v>
      </c>
      <c r="H90" s="14">
        <v>6</v>
      </c>
      <c r="I90" s="14" t="str">
        <f>IFERROR(INDEX(Teams!$B$2:$B$49,MATCH($H90,Teams!$A$2:$A$49,0)),"")</f>
        <v>France</v>
      </c>
      <c r="J90" s="14">
        <v>0</v>
      </c>
      <c r="K90" s="14">
        <v>1</v>
      </c>
      <c r="L90" s="14" t="s">
        <v>237</v>
      </c>
      <c r="M90" s="14">
        <v>5</v>
      </c>
      <c r="N90" s="14">
        <v>1</v>
      </c>
      <c r="O90" s="14">
        <v>24</v>
      </c>
      <c r="P90" s="14">
        <v>2</v>
      </c>
      <c r="Q90" s="14">
        <v>13</v>
      </c>
      <c r="R90" s="14">
        <v>0</v>
      </c>
      <c r="S90" s="14">
        <v>0</v>
      </c>
      <c r="T90" s="14">
        <v>0</v>
      </c>
      <c r="U90" s="14">
        <v>-1</v>
      </c>
      <c r="V90" s="14">
        <v>0</v>
      </c>
      <c r="W90" s="14" t="b">
        <f>FALSE()</f>
        <v>0</v>
      </c>
    </row>
    <row r="91" spans="1:23" x14ac:dyDescent="0.3">
      <c r="A91" s="14">
        <v>90</v>
      </c>
      <c r="B91" s="14" t="s">
        <v>209</v>
      </c>
      <c r="C91" s="14" t="s">
        <v>36</v>
      </c>
      <c r="D91" s="14"/>
      <c r="E91" s="14">
        <v>9</v>
      </c>
      <c r="F91" s="14">
        <v>16</v>
      </c>
      <c r="G91" s="14" t="str">
        <f>IFERROR(INDEX(Teams!$B$2:$B$49,MATCH($F91,Teams!$A$2:$A$49,0)),"")</f>
        <v>Canada</v>
      </c>
      <c r="H91" s="14">
        <v>21</v>
      </c>
      <c r="I91" s="14" t="str">
        <f>IFERROR(INDEX(Teams!$B$2:$B$49,MATCH($H91,Teams!$A$2:$A$49,0)),"")</f>
        <v>Morocco</v>
      </c>
      <c r="J91" s="14">
        <v>0</v>
      </c>
      <c r="K91" s="14">
        <v>3</v>
      </c>
      <c r="L91" s="14" t="s">
        <v>237</v>
      </c>
      <c r="M91" s="14">
        <v>10</v>
      </c>
      <c r="N91" s="14">
        <v>3</v>
      </c>
      <c r="O91" s="14">
        <v>45</v>
      </c>
      <c r="P91" s="14">
        <v>11</v>
      </c>
      <c r="Q91" s="14">
        <v>24</v>
      </c>
      <c r="R91" s="14">
        <v>4</v>
      </c>
      <c r="S91" s="14">
        <v>0</v>
      </c>
      <c r="T91" s="14">
        <v>2</v>
      </c>
      <c r="U91" s="14">
        <v>-3</v>
      </c>
      <c r="V91" s="14">
        <v>0</v>
      </c>
      <c r="W91" s="14" t="b">
        <f>FALSE()</f>
        <v>0</v>
      </c>
    </row>
    <row r="92" spans="1:23" x14ac:dyDescent="0.3">
      <c r="A92" s="14">
        <v>91</v>
      </c>
      <c r="B92" s="14" t="s">
        <v>210</v>
      </c>
      <c r="C92" s="14" t="s">
        <v>36</v>
      </c>
      <c r="D92" s="14"/>
      <c r="E92" s="14">
        <v>13</v>
      </c>
      <c r="F92" s="14">
        <v>3</v>
      </c>
      <c r="G92" s="14" t="str">
        <f>IFERROR(INDEX(Teams!$B$2:$B$49,MATCH($F92,Teams!$A$2:$A$49,0)),"")</f>
        <v>Brazil</v>
      </c>
      <c r="H92" s="14">
        <v>22</v>
      </c>
      <c r="I92" s="14" t="str">
        <f>IFERROR(INDEX(Teams!$B$2:$B$49,MATCH($H92,Teams!$A$2:$A$49,0)),"")</f>
        <v>Norway</v>
      </c>
      <c r="J92" s="14">
        <v>1</v>
      </c>
      <c r="K92" s="14">
        <v>2</v>
      </c>
      <c r="L92" s="14" t="s">
        <v>237</v>
      </c>
      <c r="M92" s="14">
        <v>14</v>
      </c>
      <c r="N92" s="14">
        <v>4</v>
      </c>
      <c r="O92" s="14">
        <v>34</v>
      </c>
      <c r="P92" s="14">
        <v>5</v>
      </c>
      <c r="Q92" s="14">
        <v>7</v>
      </c>
      <c r="R92" s="14">
        <v>1</v>
      </c>
      <c r="S92" s="14">
        <v>0</v>
      </c>
      <c r="T92" s="14">
        <v>1</v>
      </c>
      <c r="U92" s="14">
        <v>-1</v>
      </c>
      <c r="V92" s="14">
        <v>0</v>
      </c>
      <c r="W92" s="14" t="b">
        <f>FALSE()</f>
        <v>0</v>
      </c>
    </row>
    <row r="93" spans="1:23" x14ac:dyDescent="0.3">
      <c r="A93" s="14">
        <v>92</v>
      </c>
      <c r="B93" s="14" t="s">
        <v>210</v>
      </c>
      <c r="C93" s="14" t="s">
        <v>36</v>
      </c>
      <c r="D93" s="14"/>
      <c r="E93" s="14">
        <v>3</v>
      </c>
      <c r="F93" s="14">
        <v>8</v>
      </c>
      <c r="G93" s="14" t="str">
        <f>IFERROR(INDEX(Teams!$B$2:$B$49,MATCH($F93,Teams!$A$2:$A$49,0)),"")</f>
        <v>Mexico</v>
      </c>
      <c r="H93" s="14">
        <v>5</v>
      </c>
      <c r="I93" s="14" t="str">
        <f>IFERROR(INDEX(Teams!$B$2:$B$49,MATCH($H93,Teams!$A$2:$A$49,0)),"")</f>
        <v>England</v>
      </c>
      <c r="J93" s="14">
        <v>2</v>
      </c>
      <c r="K93" s="14">
        <v>3</v>
      </c>
      <c r="L93" s="14" t="s">
        <v>237</v>
      </c>
      <c r="M93" s="14">
        <v>20</v>
      </c>
      <c r="N93" s="14">
        <v>5</v>
      </c>
      <c r="O93" s="14">
        <v>67</v>
      </c>
      <c r="P93" s="14">
        <v>12</v>
      </c>
      <c r="Q93" s="14">
        <v>14</v>
      </c>
      <c r="R93" s="14">
        <v>2</v>
      </c>
      <c r="S93" s="14">
        <v>0</v>
      </c>
      <c r="T93" s="14">
        <v>1</v>
      </c>
      <c r="U93" s="14">
        <v>-1</v>
      </c>
      <c r="V93" s="14">
        <v>0</v>
      </c>
      <c r="W93" s="14" t="b">
        <f>FALSE()</f>
        <v>0</v>
      </c>
    </row>
    <row r="94" spans="1:23" x14ac:dyDescent="0.3">
      <c r="A94" s="14">
        <v>93</v>
      </c>
      <c r="B94" s="14" t="s">
        <v>211</v>
      </c>
      <c r="C94" s="14" t="s">
        <v>36</v>
      </c>
      <c r="D94" s="14"/>
      <c r="E94" s="14">
        <v>8</v>
      </c>
      <c r="F94" s="14">
        <v>23</v>
      </c>
      <c r="G94" s="14" t="str">
        <f>IFERROR(INDEX(Teams!$B$2:$B$49,MATCH($F94,Teams!$A$2:$A$49,0)),"")</f>
        <v>Portugal</v>
      </c>
      <c r="H94" s="14">
        <v>10</v>
      </c>
      <c r="I94" s="14" t="str">
        <f>IFERROR(INDEX(Teams!$B$2:$B$49,MATCH($H94,Teams!$A$2:$A$49,0)),"")</f>
        <v>Spain</v>
      </c>
      <c r="J94" s="14">
        <v>0</v>
      </c>
      <c r="K94" s="14">
        <v>1</v>
      </c>
      <c r="L94" s="14" t="s">
        <v>237</v>
      </c>
      <c r="M94" s="14">
        <v>10</v>
      </c>
      <c r="N94" s="14">
        <v>2</v>
      </c>
      <c r="O94" s="14">
        <v>45</v>
      </c>
      <c r="P94" s="14">
        <v>3</v>
      </c>
      <c r="Q94" s="14">
        <v>9</v>
      </c>
      <c r="R94" s="14">
        <v>2</v>
      </c>
      <c r="S94" s="14">
        <v>0</v>
      </c>
      <c r="T94" s="14">
        <v>2</v>
      </c>
      <c r="U94" s="14">
        <v>-1</v>
      </c>
      <c r="V94" s="14">
        <v>0</v>
      </c>
      <c r="W94" s="14" t="b">
        <f>FALSE()</f>
        <v>0</v>
      </c>
    </row>
    <row r="95" spans="1:23" x14ac:dyDescent="0.3">
      <c r="A95" s="14">
        <v>94</v>
      </c>
      <c r="B95" s="14" t="s">
        <v>211</v>
      </c>
      <c r="C95" s="14" t="s">
        <v>36</v>
      </c>
      <c r="D95" s="14"/>
      <c r="E95" s="14">
        <v>16</v>
      </c>
      <c r="F95" s="14">
        <v>12</v>
      </c>
      <c r="G95" s="14" t="str">
        <f>IFERROR(INDEX(Teams!$B$2:$B$49,MATCH($F95,Teams!$A$2:$A$49,0)),"")</f>
        <v>USA</v>
      </c>
      <c r="H95" s="14">
        <v>2</v>
      </c>
      <c r="I95" s="14" t="str">
        <f>IFERROR(INDEX(Teams!$B$2:$B$49,MATCH($H95,Teams!$A$2:$A$49,0)),"")</f>
        <v>Belgium</v>
      </c>
      <c r="J95" s="14">
        <v>1</v>
      </c>
      <c r="K95" s="14">
        <v>4</v>
      </c>
      <c r="L95" s="14" t="s">
        <v>237</v>
      </c>
      <c r="M95" s="14">
        <v>7</v>
      </c>
      <c r="N95" s="14">
        <v>2</v>
      </c>
      <c r="O95" s="14">
        <v>56</v>
      </c>
      <c r="P95" s="14">
        <v>3</v>
      </c>
      <c r="Q95" s="14">
        <v>11</v>
      </c>
      <c r="R95" s="14">
        <v>2</v>
      </c>
      <c r="S95" s="14">
        <v>0</v>
      </c>
      <c r="T95" s="14">
        <v>0</v>
      </c>
      <c r="U95" s="14">
        <v>-3</v>
      </c>
      <c r="V95" s="14">
        <v>0</v>
      </c>
      <c r="W95" s="14" t="b">
        <f>FALSE()</f>
        <v>0</v>
      </c>
    </row>
    <row r="96" spans="1:23" x14ac:dyDescent="0.3">
      <c r="A96" s="14">
        <v>95</v>
      </c>
      <c r="B96" s="14" t="s">
        <v>212</v>
      </c>
      <c r="C96" s="14" t="s">
        <v>36</v>
      </c>
      <c r="D96" s="14"/>
      <c r="E96" s="14">
        <v>6</v>
      </c>
      <c r="F96" s="14">
        <v>1</v>
      </c>
      <c r="G96" s="14" t="str">
        <f>IFERROR(INDEX(Teams!$B$2:$B$49,MATCH($F96,Teams!$A$2:$A$49,0)),"")</f>
        <v>Argentina</v>
      </c>
      <c r="H96" s="14">
        <v>19</v>
      </c>
      <c r="I96" s="14" t="str">
        <f>IFERROR(INDEX(Teams!$B$2:$B$49,MATCH($H96,Teams!$A$2:$A$49,0)),"")</f>
        <v>Egypt</v>
      </c>
      <c r="J96" s="14">
        <v>3</v>
      </c>
      <c r="K96" s="14">
        <v>2</v>
      </c>
      <c r="L96" s="14" t="s">
        <v>235</v>
      </c>
      <c r="M96" s="14">
        <v>19</v>
      </c>
      <c r="N96" s="14">
        <v>7</v>
      </c>
      <c r="O96" s="14">
        <v>64</v>
      </c>
      <c r="P96" s="14">
        <v>6</v>
      </c>
      <c r="Q96" s="14">
        <v>13</v>
      </c>
      <c r="R96" s="14">
        <v>0</v>
      </c>
      <c r="S96" s="14">
        <v>0</v>
      </c>
      <c r="T96" s="14">
        <v>3</v>
      </c>
      <c r="U96" s="14">
        <v>1</v>
      </c>
      <c r="V96" s="14">
        <v>3</v>
      </c>
      <c r="W96" s="14" t="b">
        <f>FALSE()</f>
        <v>0</v>
      </c>
    </row>
    <row r="97" spans="1:23" x14ac:dyDescent="0.3">
      <c r="A97" s="14">
        <v>96</v>
      </c>
      <c r="B97" s="14" t="s">
        <v>212</v>
      </c>
      <c r="C97" s="14" t="s">
        <v>36</v>
      </c>
      <c r="D97" s="14"/>
      <c r="E97" s="14">
        <v>2</v>
      </c>
      <c r="F97" s="14">
        <v>11</v>
      </c>
      <c r="G97" s="14" t="str">
        <f>IFERROR(INDEX(Teams!$B$2:$B$49,MATCH($F97,Teams!$A$2:$A$49,0)),"")</f>
        <v>Switzerland</v>
      </c>
      <c r="H97" s="14">
        <v>4</v>
      </c>
      <c r="I97" s="14" t="str">
        <f>IFERROR(INDEX(Teams!$B$2:$B$49,MATCH($H97,Teams!$A$2:$A$49,0)),"")</f>
        <v>Colombia</v>
      </c>
      <c r="J97" s="14">
        <v>0</v>
      </c>
      <c r="K97" s="14">
        <v>0</v>
      </c>
      <c r="L97" s="14" t="s">
        <v>236</v>
      </c>
      <c r="M97" s="14">
        <v>7</v>
      </c>
      <c r="N97" s="14">
        <v>2</v>
      </c>
      <c r="O97" s="14">
        <v>53</v>
      </c>
      <c r="P97" s="14">
        <v>3</v>
      </c>
      <c r="Q97" s="14">
        <v>22</v>
      </c>
      <c r="R97" s="14">
        <v>3</v>
      </c>
      <c r="S97" s="14">
        <v>0</v>
      </c>
      <c r="T97" s="14">
        <v>5</v>
      </c>
      <c r="U97" s="14">
        <v>0</v>
      </c>
      <c r="V97" s="14">
        <v>1</v>
      </c>
      <c r="W97" s="14" t="b">
        <f>TRUE()</f>
        <v>1</v>
      </c>
    </row>
    <row r="98" spans="1:23" x14ac:dyDescent="0.3">
      <c r="A98" s="14">
        <v>97</v>
      </c>
      <c r="B98" s="14" t="s">
        <v>213</v>
      </c>
      <c r="C98" s="14" t="s">
        <v>37</v>
      </c>
      <c r="D98" s="14"/>
      <c r="E98" s="14">
        <v>7</v>
      </c>
      <c r="F98" s="14">
        <v>6</v>
      </c>
      <c r="G98" s="14" t="str">
        <f>IFERROR(INDEX(Teams!$B$2:$B$49,MATCH($F98,Teams!$A$2:$A$49,0)),"")</f>
        <v>France</v>
      </c>
      <c r="H98" s="14">
        <v>21</v>
      </c>
      <c r="I98" s="14" t="str">
        <f>IFERROR(INDEX(Teams!$B$2:$B$49,MATCH($H98,Teams!$A$2:$A$49,0)),"")</f>
        <v>Morocco</v>
      </c>
      <c r="J98" s="14">
        <v>2</v>
      </c>
      <c r="K98" s="14">
        <v>0</v>
      </c>
      <c r="L98" s="14" t="s">
        <v>235</v>
      </c>
      <c r="M98" s="14">
        <v>22</v>
      </c>
      <c r="N98" s="14">
        <v>8</v>
      </c>
      <c r="O98" s="14">
        <v>48</v>
      </c>
      <c r="P98" s="14">
        <v>5</v>
      </c>
      <c r="Q98" s="14">
        <v>10</v>
      </c>
      <c r="R98" s="14">
        <v>0</v>
      </c>
      <c r="S98" s="14">
        <v>0</v>
      </c>
      <c r="T98" s="14">
        <v>0</v>
      </c>
      <c r="U98" s="14">
        <v>2</v>
      </c>
      <c r="V98" s="14">
        <v>3</v>
      </c>
      <c r="W98" s="14" t="b">
        <f>TRUE()</f>
        <v>1</v>
      </c>
    </row>
    <row r="99" spans="1:23" x14ac:dyDescent="0.3">
      <c r="A99" s="14">
        <v>98</v>
      </c>
      <c r="B99" s="14" t="s">
        <v>214</v>
      </c>
      <c r="C99" s="14" t="s">
        <v>37</v>
      </c>
      <c r="D99" s="14"/>
      <c r="E99" s="14">
        <v>11</v>
      </c>
      <c r="F99" s="14">
        <v>10</v>
      </c>
      <c r="G99" s="14" t="str">
        <f>IFERROR(INDEX(Teams!$B$2:$B$49,MATCH($F99,Teams!$A$2:$A$49,0)),"")</f>
        <v>Spain</v>
      </c>
      <c r="H99" s="14">
        <v>2</v>
      </c>
      <c r="I99" s="14" t="str">
        <f>IFERROR(INDEX(Teams!$B$2:$B$49,MATCH($H99,Teams!$A$2:$A$49,0)),"")</f>
        <v>Belgium</v>
      </c>
      <c r="J99" s="14">
        <v>2</v>
      </c>
      <c r="K99" s="14">
        <v>1</v>
      </c>
      <c r="L99" s="14" t="s">
        <v>235</v>
      </c>
      <c r="M99" s="14">
        <v>17</v>
      </c>
      <c r="N99" s="14">
        <v>8</v>
      </c>
      <c r="O99" s="14">
        <v>68</v>
      </c>
      <c r="P99" s="14">
        <v>5</v>
      </c>
      <c r="Q99" s="14">
        <v>13</v>
      </c>
      <c r="R99" s="14">
        <v>2</v>
      </c>
      <c r="S99" s="14">
        <v>0</v>
      </c>
      <c r="T99" s="14">
        <v>3</v>
      </c>
      <c r="U99" s="14">
        <v>1</v>
      </c>
      <c r="V99" s="14">
        <v>3</v>
      </c>
      <c r="W99" s="14" t="b">
        <f>FALSE()</f>
        <v>0</v>
      </c>
    </row>
    <row r="100" spans="1:23" x14ac:dyDescent="0.3">
      <c r="A100" s="14">
        <v>99</v>
      </c>
      <c r="B100" s="14" t="s">
        <v>215</v>
      </c>
      <c r="C100" s="14" t="s">
        <v>37</v>
      </c>
      <c r="D100" s="14"/>
      <c r="E100" s="14">
        <v>12</v>
      </c>
      <c r="F100" s="14">
        <v>22</v>
      </c>
      <c r="G100" s="14" t="str">
        <f>IFERROR(INDEX(Teams!$B$2:$B$49,MATCH($F100,Teams!$A$2:$A$49,0)),"")</f>
        <v>Norway</v>
      </c>
      <c r="H100" s="14">
        <v>5</v>
      </c>
      <c r="I100" s="14" t="str">
        <f>IFERROR(INDEX(Teams!$B$2:$B$49,MATCH($H100,Teams!$A$2:$A$49,0)),"")</f>
        <v>England</v>
      </c>
      <c r="J100" s="14">
        <v>1</v>
      </c>
      <c r="K100" s="14">
        <v>2</v>
      </c>
      <c r="L100" s="14" t="s">
        <v>237</v>
      </c>
      <c r="M100" s="14">
        <v>13</v>
      </c>
      <c r="N100" s="14">
        <v>4</v>
      </c>
      <c r="O100" s="14">
        <v>48</v>
      </c>
      <c r="P100" s="14">
        <v>7</v>
      </c>
      <c r="Q100" s="14">
        <v>10</v>
      </c>
      <c r="R100" s="14">
        <v>1</v>
      </c>
      <c r="S100" s="14">
        <v>0</v>
      </c>
      <c r="T100" s="14">
        <v>1</v>
      </c>
      <c r="U100" s="14">
        <v>-1</v>
      </c>
      <c r="V100" s="14">
        <v>0</v>
      </c>
      <c r="W100" s="14" t="b">
        <f>FALSE()</f>
        <v>0</v>
      </c>
    </row>
    <row r="101" spans="1:23" x14ac:dyDescent="0.3">
      <c r="A101" s="14">
        <v>100</v>
      </c>
      <c r="B101" s="14" t="s">
        <v>215</v>
      </c>
      <c r="C101" s="14" t="s">
        <v>37</v>
      </c>
      <c r="D101" s="14"/>
      <c r="E101" s="14">
        <v>10</v>
      </c>
      <c r="F101" s="14">
        <v>1</v>
      </c>
      <c r="G101" s="14" t="str">
        <f>IFERROR(INDEX(Teams!$B$2:$B$49,MATCH($F101,Teams!$A$2:$A$49,0)),"")</f>
        <v>Argentina</v>
      </c>
      <c r="H101" s="14">
        <v>11</v>
      </c>
      <c r="I101" s="14" t="str">
        <f>IFERROR(INDEX(Teams!$B$2:$B$49,MATCH($H101,Teams!$A$2:$A$49,0)),"")</f>
        <v>Switzerland</v>
      </c>
      <c r="J101" s="14">
        <v>3</v>
      </c>
      <c r="K101" s="14">
        <v>1</v>
      </c>
      <c r="L101" s="14" t="s">
        <v>235</v>
      </c>
      <c r="M101" s="14">
        <v>22</v>
      </c>
      <c r="N101" s="14">
        <v>7</v>
      </c>
      <c r="O101" s="14">
        <v>59</v>
      </c>
      <c r="P101" s="14">
        <v>8</v>
      </c>
      <c r="Q101" s="14">
        <v>14</v>
      </c>
      <c r="R101" s="14">
        <v>3</v>
      </c>
      <c r="S101" s="14">
        <v>0</v>
      </c>
      <c r="T101" s="14">
        <v>4</v>
      </c>
      <c r="U101" s="14">
        <v>2</v>
      </c>
      <c r="V101" s="14">
        <v>3</v>
      </c>
      <c r="W101" s="14" t="b">
        <f>FALSE()</f>
        <v>0</v>
      </c>
    </row>
    <row r="102" spans="1:23" x14ac:dyDescent="0.3">
      <c r="A102" s="14">
        <v>101</v>
      </c>
      <c r="B102" s="14" t="s">
        <v>216</v>
      </c>
      <c r="C102" s="14" t="s">
        <v>38</v>
      </c>
      <c r="D102" s="14"/>
      <c r="E102" s="14">
        <v>8</v>
      </c>
      <c r="F102" s="14">
        <v>6</v>
      </c>
      <c r="G102" s="14" t="str">
        <f>IFERROR(INDEX(Teams!$B$2:$B$49,MATCH($F102,Teams!$A$2:$A$49,0)),"")</f>
        <v>France</v>
      </c>
      <c r="H102" s="14">
        <v>10</v>
      </c>
      <c r="I102" s="14" t="str">
        <f>IFERROR(INDEX(Teams!$B$2:$B$49,MATCH($H102,Teams!$A$2:$A$49,0)),"")</f>
        <v>Spain</v>
      </c>
      <c r="J102" s="14">
        <v>0</v>
      </c>
      <c r="K102" s="14">
        <v>2</v>
      </c>
      <c r="L102" s="14" t="s">
        <v>237</v>
      </c>
      <c r="M102" s="14">
        <v>10</v>
      </c>
      <c r="N102" s="14">
        <v>3</v>
      </c>
      <c r="O102" s="14">
        <v>49</v>
      </c>
      <c r="P102" s="14">
        <v>7</v>
      </c>
      <c r="Q102" s="14">
        <v>11</v>
      </c>
      <c r="R102" s="14">
        <v>2</v>
      </c>
      <c r="S102" s="14">
        <v>0</v>
      </c>
      <c r="T102" s="14">
        <v>4</v>
      </c>
      <c r="U102" s="14">
        <v>-2</v>
      </c>
      <c r="V102" s="14">
        <v>0</v>
      </c>
      <c r="W102" s="14" t="b">
        <f>FALSE()</f>
        <v>0</v>
      </c>
    </row>
    <row r="103" spans="1:23" x14ac:dyDescent="0.3">
      <c r="A103" s="14">
        <v>102</v>
      </c>
      <c r="B103" s="14" t="s">
        <v>217</v>
      </c>
      <c r="C103" s="14" t="s">
        <v>38</v>
      </c>
      <c r="D103" s="14"/>
      <c r="E103" s="14">
        <v>6</v>
      </c>
      <c r="F103" s="14">
        <v>5</v>
      </c>
      <c r="G103" s="14" t="str">
        <f>IFERROR(INDEX(Teams!$B$2:$B$49,MATCH($F103,Teams!$A$2:$A$49,0)),"")</f>
        <v>England</v>
      </c>
      <c r="H103" s="14">
        <v>1</v>
      </c>
      <c r="I103" s="14" t="str">
        <f>IFERROR(INDEX(Teams!$B$2:$B$49,MATCH($H103,Teams!$A$2:$A$49,0)),"")</f>
        <v>Argentina</v>
      </c>
      <c r="J103" s="14">
        <v>1</v>
      </c>
      <c r="K103" s="14">
        <v>2</v>
      </c>
      <c r="L103" s="14" t="s">
        <v>237</v>
      </c>
      <c r="M103" s="14">
        <v>5</v>
      </c>
      <c r="N103" s="14">
        <v>2</v>
      </c>
      <c r="O103" s="14">
        <v>36</v>
      </c>
      <c r="P103" s="14">
        <v>2</v>
      </c>
      <c r="Q103" s="14">
        <v>11</v>
      </c>
      <c r="R103" s="14">
        <v>1</v>
      </c>
      <c r="S103" s="14">
        <v>0</v>
      </c>
      <c r="T103" s="14">
        <v>1</v>
      </c>
      <c r="U103" s="14">
        <v>-1</v>
      </c>
      <c r="V103" s="14">
        <v>0</v>
      </c>
      <c r="W103" s="14" t="b">
        <f>FALSE()</f>
        <v>0</v>
      </c>
    </row>
    <row r="104" spans="1:23" x14ac:dyDescent="0.3">
      <c r="A104" s="14">
        <v>103</v>
      </c>
      <c r="B104" s="14" t="s">
        <v>218</v>
      </c>
      <c r="C104" s="14" t="s">
        <v>39</v>
      </c>
      <c r="D104" s="14"/>
      <c r="E104" s="14">
        <v>12</v>
      </c>
      <c r="F104" s="14">
        <v>6</v>
      </c>
      <c r="G104" s="14" t="str">
        <f>IFERROR(INDEX(Teams!$B$2:$B$49,MATCH($F104,Teams!$A$2:$A$49,0)),"")</f>
        <v>France</v>
      </c>
      <c r="H104" s="14">
        <v>5</v>
      </c>
      <c r="I104" s="14" t="str">
        <f>IFERROR(INDEX(Teams!$B$2:$B$49,MATCH($H104,Teams!$A$2:$A$49,0)),"")</f>
        <v>England</v>
      </c>
      <c r="J104" s="14">
        <v>4</v>
      </c>
      <c r="K104" s="14">
        <v>6</v>
      </c>
      <c r="L104" s="14" t="s">
        <v>237</v>
      </c>
      <c r="M104" s="14">
        <v>19</v>
      </c>
      <c r="N104" s="14">
        <v>9</v>
      </c>
      <c r="O104" s="14">
        <v>46</v>
      </c>
      <c r="P104" s="14">
        <v>3</v>
      </c>
      <c r="Q104" s="14">
        <v>14</v>
      </c>
      <c r="R104" s="14">
        <v>0</v>
      </c>
      <c r="S104" s="14">
        <v>0</v>
      </c>
      <c r="T104" s="14">
        <v>3</v>
      </c>
      <c r="U104" s="14">
        <v>-2</v>
      </c>
      <c r="V104" s="14">
        <v>0</v>
      </c>
      <c r="W104" s="14" t="b">
        <f>FALSE()</f>
        <v>0</v>
      </c>
    </row>
    <row r="105" spans="1:23" x14ac:dyDescent="0.3">
      <c r="A105" s="14">
        <v>104</v>
      </c>
      <c r="B105" s="14" t="s">
        <v>219</v>
      </c>
      <c r="C105" s="14" t="s">
        <v>40</v>
      </c>
      <c r="D105" s="14"/>
      <c r="E105" s="14">
        <v>13</v>
      </c>
      <c r="F105" s="14">
        <v>10</v>
      </c>
      <c r="G105" s="14" t="str">
        <f>IFERROR(INDEX(Teams!$B$2:$B$49,MATCH($F105,Teams!$A$2:$A$49,0)),"")</f>
        <v>Spain</v>
      </c>
      <c r="H105" s="14">
        <v>1</v>
      </c>
      <c r="I105" s="14" t="str">
        <f>IFERROR(INDEX(Teams!$B$2:$B$49,MATCH($H105,Teams!$A$2:$A$49,0)),"")</f>
        <v>Argentina</v>
      </c>
      <c r="J105" s="14">
        <v>1</v>
      </c>
      <c r="K105" s="14">
        <v>0</v>
      </c>
      <c r="L105" s="14" t="s">
        <v>235</v>
      </c>
      <c r="M105" s="14">
        <v>20</v>
      </c>
      <c r="N105" s="14">
        <v>12</v>
      </c>
      <c r="O105" s="14">
        <v>65</v>
      </c>
      <c r="P105" s="14">
        <v>9</v>
      </c>
      <c r="Q105" s="14">
        <v>21</v>
      </c>
      <c r="R105" s="14">
        <v>0</v>
      </c>
      <c r="S105" s="14">
        <v>0</v>
      </c>
      <c r="T105" s="14">
        <v>4</v>
      </c>
      <c r="U105" s="14">
        <v>1</v>
      </c>
      <c r="V105" s="14">
        <v>3</v>
      </c>
      <c r="W105" s="14" t="b">
        <f>TRUE()</f>
        <v>1</v>
      </c>
    </row>
    <row r="106" spans="1:23" x14ac:dyDescent="0.3">
      <c r="A106" s="14">
        <v>1</v>
      </c>
      <c r="B106" s="14" t="s">
        <v>186</v>
      </c>
      <c r="C106" s="14" t="s">
        <v>34</v>
      </c>
      <c r="D106" s="14" t="s">
        <v>87</v>
      </c>
      <c r="E106" s="14">
        <v>3</v>
      </c>
      <c r="F106" s="14">
        <v>24</v>
      </c>
      <c r="G106" s="14" t="str">
        <f>IFERROR(INDEX(Teams!$B$2:$B$49,MATCH($F106,Teams!$A$2:$A$49,0)),"")</f>
        <v>South Africa</v>
      </c>
      <c r="H106" s="14">
        <v>8</v>
      </c>
      <c r="I106" s="14" t="str">
        <f>IFERROR(INDEX(Teams!$B$2:$B$49,MATCH($H106,Teams!$A$2:$A$49,0)),"")</f>
        <v>Mexico</v>
      </c>
      <c r="J106" s="14">
        <v>0</v>
      </c>
      <c r="K106" s="14">
        <v>2</v>
      </c>
      <c r="L106" s="14" t="s">
        <v>237</v>
      </c>
      <c r="M106" s="14">
        <v>3</v>
      </c>
      <c r="N106" s="14">
        <v>2</v>
      </c>
      <c r="O106" s="14">
        <v>40</v>
      </c>
      <c r="P106" s="14">
        <v>1</v>
      </c>
      <c r="Q106" s="14">
        <v>11</v>
      </c>
      <c r="R106" s="14">
        <v>2</v>
      </c>
      <c r="S106" s="14">
        <v>2</v>
      </c>
      <c r="T106" s="14">
        <v>1</v>
      </c>
      <c r="U106" s="14">
        <v>-2</v>
      </c>
      <c r="V106" s="14">
        <v>0</v>
      </c>
      <c r="W106" s="14" t="b">
        <f>FALSE()</f>
        <v>0</v>
      </c>
    </row>
    <row r="107" spans="1:23" x14ac:dyDescent="0.3">
      <c r="A107" s="14">
        <v>2</v>
      </c>
      <c r="B107" s="14" t="s">
        <v>186</v>
      </c>
      <c r="C107" s="14" t="s">
        <v>34</v>
      </c>
      <c r="D107" s="14" t="s">
        <v>87</v>
      </c>
      <c r="E107" s="14">
        <v>4</v>
      </c>
      <c r="F107" s="14">
        <v>38</v>
      </c>
      <c r="G107" s="14" t="str">
        <f>IFERROR(INDEX(Teams!$B$2:$B$49,MATCH($F107,Teams!$A$2:$A$49,0)),"")</f>
        <v>Czechia</v>
      </c>
      <c r="H107" s="14">
        <v>31</v>
      </c>
      <c r="I107" s="14" t="str">
        <f>IFERROR(INDEX(Teams!$B$2:$B$49,MATCH($H107,Teams!$A$2:$A$49,0)),"")</f>
        <v>Korea Republic</v>
      </c>
      <c r="J107" s="14">
        <v>1</v>
      </c>
      <c r="K107" s="14">
        <v>2</v>
      </c>
      <c r="L107" s="14" t="s">
        <v>237</v>
      </c>
      <c r="M107" s="14">
        <v>7</v>
      </c>
      <c r="N107" s="14">
        <v>4</v>
      </c>
      <c r="O107" s="14">
        <v>39</v>
      </c>
      <c r="P107" s="14">
        <v>5</v>
      </c>
      <c r="Q107" s="14">
        <v>16</v>
      </c>
      <c r="R107" s="14">
        <v>0</v>
      </c>
      <c r="S107" s="14">
        <v>0</v>
      </c>
      <c r="T107" s="14">
        <v>2</v>
      </c>
      <c r="U107" s="14">
        <v>-1</v>
      </c>
      <c r="V107" s="14">
        <v>0</v>
      </c>
      <c r="W107" s="14" t="b">
        <f>FALSE()</f>
        <v>0</v>
      </c>
    </row>
    <row r="108" spans="1:23" x14ac:dyDescent="0.3">
      <c r="A108" s="14">
        <v>3</v>
      </c>
      <c r="B108" s="14" t="s">
        <v>187</v>
      </c>
      <c r="C108" s="14" t="s">
        <v>34</v>
      </c>
      <c r="D108" s="14" t="s">
        <v>96</v>
      </c>
      <c r="E108" s="14">
        <v>1</v>
      </c>
      <c r="F108" s="14">
        <v>26</v>
      </c>
      <c r="G108" s="14" t="str">
        <f>IFERROR(INDEX(Teams!$B$2:$B$49,MATCH($F108,Teams!$A$2:$A$49,0)),"")</f>
        <v>Bosnia and Herzegovina</v>
      </c>
      <c r="H108" s="14">
        <v>16</v>
      </c>
      <c r="I108" s="14" t="str">
        <f>IFERROR(INDEX(Teams!$B$2:$B$49,MATCH($H108,Teams!$A$2:$A$49,0)),"")</f>
        <v>Canada</v>
      </c>
      <c r="J108" s="14">
        <v>1</v>
      </c>
      <c r="K108" s="14">
        <v>1</v>
      </c>
      <c r="L108" s="14" t="s">
        <v>236</v>
      </c>
      <c r="M108" s="14">
        <v>8</v>
      </c>
      <c r="N108" s="14">
        <v>3</v>
      </c>
      <c r="O108" s="14">
        <v>39</v>
      </c>
      <c r="P108" s="14">
        <v>4</v>
      </c>
      <c r="Q108" s="14">
        <v>20</v>
      </c>
      <c r="R108" s="14">
        <v>3</v>
      </c>
      <c r="S108" s="14">
        <v>0</v>
      </c>
      <c r="T108" s="14">
        <v>0</v>
      </c>
      <c r="U108" s="14">
        <v>0</v>
      </c>
      <c r="V108" s="14">
        <v>1</v>
      </c>
      <c r="W108" s="14" t="b">
        <f>FALSE()</f>
        <v>0</v>
      </c>
    </row>
    <row r="109" spans="1:23" x14ac:dyDescent="0.3">
      <c r="A109" s="14">
        <v>4</v>
      </c>
      <c r="B109" s="14" t="s">
        <v>187</v>
      </c>
      <c r="C109" s="14" t="s">
        <v>34</v>
      </c>
      <c r="D109" s="14" t="s">
        <v>98</v>
      </c>
      <c r="E109" s="14">
        <v>11</v>
      </c>
      <c r="F109" s="14">
        <v>32</v>
      </c>
      <c r="G109" s="14" t="str">
        <f>IFERROR(INDEX(Teams!$B$2:$B$49,MATCH($F109,Teams!$A$2:$A$49,0)),"")</f>
        <v>Paraguay</v>
      </c>
      <c r="H109" s="14">
        <v>12</v>
      </c>
      <c r="I109" s="14" t="str">
        <f>IFERROR(INDEX(Teams!$B$2:$B$49,MATCH($H109,Teams!$A$2:$A$49,0)),"")</f>
        <v>USA</v>
      </c>
      <c r="J109" s="14">
        <v>1</v>
      </c>
      <c r="K109" s="14">
        <v>4</v>
      </c>
      <c r="L109" s="14" t="s">
        <v>237</v>
      </c>
      <c r="M109" s="14">
        <v>9</v>
      </c>
      <c r="N109" s="14">
        <v>1</v>
      </c>
      <c r="O109" s="14">
        <v>35</v>
      </c>
      <c r="P109" s="14">
        <v>1</v>
      </c>
      <c r="Q109" s="14">
        <v>17</v>
      </c>
      <c r="R109" s="14">
        <v>5</v>
      </c>
      <c r="S109" s="14">
        <v>0</v>
      </c>
      <c r="T109" s="14">
        <v>1</v>
      </c>
      <c r="U109" s="14">
        <v>-3</v>
      </c>
      <c r="V109" s="14">
        <v>0</v>
      </c>
      <c r="W109" s="14" t="b">
        <f>FALSE()</f>
        <v>0</v>
      </c>
    </row>
    <row r="110" spans="1:23" x14ac:dyDescent="0.3">
      <c r="A110" s="14">
        <v>5</v>
      </c>
      <c r="B110" s="14" t="s">
        <v>188</v>
      </c>
      <c r="C110" s="14" t="s">
        <v>34</v>
      </c>
      <c r="D110" s="14" t="s">
        <v>72</v>
      </c>
      <c r="E110" s="14">
        <v>7</v>
      </c>
      <c r="F110" s="14">
        <v>33</v>
      </c>
      <c r="G110" s="14" t="str">
        <f>IFERROR(INDEX(Teams!$B$2:$B$49,MATCH($F110,Teams!$A$2:$A$49,0)),"")</f>
        <v>Scotland</v>
      </c>
      <c r="H110" s="14">
        <v>39</v>
      </c>
      <c r="I110" s="14" t="str">
        <f>IFERROR(INDEX(Teams!$B$2:$B$49,MATCH($H110,Teams!$A$2:$A$49,0)),"")</f>
        <v>Haiti</v>
      </c>
      <c r="J110" s="14">
        <v>1</v>
      </c>
      <c r="K110" s="14">
        <v>0</v>
      </c>
      <c r="L110" s="14" t="s">
        <v>235</v>
      </c>
      <c r="M110" s="14">
        <v>9</v>
      </c>
      <c r="N110" s="14">
        <v>2</v>
      </c>
      <c r="O110" s="14">
        <v>46</v>
      </c>
      <c r="P110" s="14">
        <v>3</v>
      </c>
      <c r="Q110" s="14">
        <v>21</v>
      </c>
      <c r="R110" s="14">
        <v>3</v>
      </c>
      <c r="S110" s="14">
        <v>0</v>
      </c>
      <c r="T110" s="14">
        <v>1</v>
      </c>
      <c r="U110" s="14">
        <v>1</v>
      </c>
      <c r="V110" s="14">
        <v>3</v>
      </c>
      <c r="W110" s="14" t="b">
        <f>TRUE()</f>
        <v>1</v>
      </c>
    </row>
    <row r="111" spans="1:23" x14ac:dyDescent="0.3">
      <c r="A111" s="14">
        <v>6</v>
      </c>
      <c r="B111" s="14" t="s">
        <v>188</v>
      </c>
      <c r="C111" s="14" t="s">
        <v>34</v>
      </c>
      <c r="D111" s="14" t="s">
        <v>98</v>
      </c>
      <c r="E111" s="14">
        <v>2</v>
      </c>
      <c r="F111" s="14">
        <v>47</v>
      </c>
      <c r="G111" s="14" t="str">
        <f>IFERROR(INDEX(Teams!$B$2:$B$49,MATCH($F111,Teams!$A$2:$A$49,0)),"")</f>
        <v>Türkiye</v>
      </c>
      <c r="H111" s="14">
        <v>13</v>
      </c>
      <c r="I111" s="14" t="str">
        <f>IFERROR(INDEX(Teams!$B$2:$B$49,MATCH($H111,Teams!$A$2:$A$49,0)),"")</f>
        <v>Australia</v>
      </c>
      <c r="J111" s="14">
        <v>0</v>
      </c>
      <c r="K111" s="14">
        <v>2</v>
      </c>
      <c r="L111" s="14" t="s">
        <v>237</v>
      </c>
      <c r="M111" s="14">
        <v>30</v>
      </c>
      <c r="N111" s="14">
        <v>8</v>
      </c>
      <c r="O111" s="14">
        <v>72</v>
      </c>
      <c r="P111" s="14">
        <v>8</v>
      </c>
      <c r="Q111" s="14">
        <v>4</v>
      </c>
      <c r="R111" s="14">
        <v>1</v>
      </c>
      <c r="S111" s="14">
        <v>0</v>
      </c>
      <c r="T111" s="14">
        <v>3</v>
      </c>
      <c r="U111" s="14">
        <v>-2</v>
      </c>
      <c r="V111" s="14">
        <v>0</v>
      </c>
      <c r="W111" s="14" t="b">
        <f>FALSE()</f>
        <v>0</v>
      </c>
    </row>
    <row r="112" spans="1:23" x14ac:dyDescent="0.3">
      <c r="A112" s="14">
        <v>7</v>
      </c>
      <c r="B112" s="14" t="s">
        <v>188</v>
      </c>
      <c r="C112" s="14" t="s">
        <v>34</v>
      </c>
      <c r="D112" s="14" t="s">
        <v>72</v>
      </c>
      <c r="E112" s="14">
        <v>13</v>
      </c>
      <c r="F112" s="14">
        <v>21</v>
      </c>
      <c r="G112" s="14" t="str">
        <f>IFERROR(INDEX(Teams!$B$2:$B$49,MATCH($F112,Teams!$A$2:$A$49,0)),"")</f>
        <v>Morocco</v>
      </c>
      <c r="H112" s="14">
        <v>3</v>
      </c>
      <c r="I112" s="14" t="str">
        <f>IFERROR(INDEX(Teams!$B$2:$B$49,MATCH($H112,Teams!$A$2:$A$49,0)),"")</f>
        <v>Brazil</v>
      </c>
      <c r="J112" s="14">
        <v>1</v>
      </c>
      <c r="K112" s="14">
        <v>1</v>
      </c>
      <c r="L112" s="14" t="s">
        <v>236</v>
      </c>
      <c r="M112" s="14">
        <v>14</v>
      </c>
      <c r="N112" s="14">
        <v>3</v>
      </c>
      <c r="O112" s="14">
        <v>49</v>
      </c>
      <c r="P112" s="14">
        <v>2</v>
      </c>
      <c r="Q112" s="14">
        <v>14</v>
      </c>
      <c r="R112" s="14">
        <v>0</v>
      </c>
      <c r="S112" s="14">
        <v>0</v>
      </c>
      <c r="T112" s="14">
        <v>1</v>
      </c>
      <c r="U112" s="14">
        <v>0</v>
      </c>
      <c r="V112" s="14">
        <v>1</v>
      </c>
      <c r="W112" s="14" t="b">
        <f>FALSE()</f>
        <v>0</v>
      </c>
    </row>
    <row r="113" spans="1:23" x14ac:dyDescent="0.3">
      <c r="A113" s="14">
        <v>8</v>
      </c>
      <c r="B113" s="14" t="s">
        <v>188</v>
      </c>
      <c r="C113" s="14" t="s">
        <v>34</v>
      </c>
      <c r="D113" s="14" t="s">
        <v>96</v>
      </c>
      <c r="E113" s="14">
        <v>15</v>
      </c>
      <c r="F113" s="14">
        <v>11</v>
      </c>
      <c r="G113" s="14" t="str">
        <f>IFERROR(INDEX(Teams!$B$2:$B$49,MATCH($F113,Teams!$A$2:$A$49,0)),"")</f>
        <v>Switzerland</v>
      </c>
      <c r="H113" s="14">
        <v>44</v>
      </c>
      <c r="I113" s="14" t="str">
        <f>IFERROR(INDEX(Teams!$B$2:$B$49,MATCH($H113,Teams!$A$2:$A$49,0)),"")</f>
        <v>Qatar</v>
      </c>
      <c r="J113" s="14">
        <v>1</v>
      </c>
      <c r="K113" s="14">
        <v>1</v>
      </c>
      <c r="L113" s="14" t="s">
        <v>236</v>
      </c>
      <c r="M113" s="14">
        <v>26</v>
      </c>
      <c r="N113" s="14">
        <v>7</v>
      </c>
      <c r="O113" s="14">
        <v>68</v>
      </c>
      <c r="P113" s="14">
        <v>10</v>
      </c>
      <c r="Q113" s="14">
        <v>11</v>
      </c>
      <c r="R113" s="14">
        <v>1</v>
      </c>
      <c r="S113" s="14">
        <v>0</v>
      </c>
      <c r="T113" s="14">
        <v>1</v>
      </c>
      <c r="U113" s="14">
        <v>0</v>
      </c>
      <c r="V113" s="14">
        <v>1</v>
      </c>
      <c r="W113" s="14" t="b">
        <f>FALSE()</f>
        <v>0</v>
      </c>
    </row>
    <row r="114" spans="1:23" x14ac:dyDescent="0.3">
      <c r="A114" s="14">
        <v>9</v>
      </c>
      <c r="B114" s="14" t="s">
        <v>189</v>
      </c>
      <c r="C114" s="14" t="s">
        <v>34</v>
      </c>
      <c r="D114" s="14" t="s">
        <v>84</v>
      </c>
      <c r="E114" s="14">
        <v>14</v>
      </c>
      <c r="F114" s="14">
        <v>28</v>
      </c>
      <c r="G114" s="14" t="str">
        <f>IFERROR(INDEX(Teams!$B$2:$B$49,MATCH($F114,Teams!$A$2:$A$49,0)),"")</f>
        <v>Ecuador</v>
      </c>
      <c r="H114" s="14">
        <v>17</v>
      </c>
      <c r="I114" s="14" t="str">
        <f>IFERROR(INDEX(Teams!$B$2:$B$49,MATCH($H114,Teams!$A$2:$A$49,0)),"")</f>
        <v>Côte d'Ivoire</v>
      </c>
      <c r="J114" s="14">
        <v>0</v>
      </c>
      <c r="K114" s="14">
        <v>1</v>
      </c>
      <c r="L114" s="14" t="s">
        <v>237</v>
      </c>
      <c r="M114" s="14">
        <v>12</v>
      </c>
      <c r="N114" s="14">
        <v>1</v>
      </c>
      <c r="O114" s="14">
        <v>52</v>
      </c>
      <c r="P114" s="14">
        <v>6</v>
      </c>
      <c r="Q114" s="14">
        <v>13</v>
      </c>
      <c r="R114" s="14">
        <v>1</v>
      </c>
      <c r="S114" s="14">
        <v>0</v>
      </c>
      <c r="T114" s="14">
        <v>0</v>
      </c>
      <c r="U114" s="14">
        <v>-1</v>
      </c>
      <c r="V114" s="14">
        <v>0</v>
      </c>
      <c r="W114" s="14" t="b">
        <f>FALSE()</f>
        <v>0</v>
      </c>
    </row>
    <row r="115" spans="1:23" x14ac:dyDescent="0.3">
      <c r="A115" s="14">
        <v>10</v>
      </c>
      <c r="B115" s="14" t="s">
        <v>189</v>
      </c>
      <c r="C115" s="14" t="s">
        <v>34</v>
      </c>
      <c r="D115" s="14" t="s">
        <v>84</v>
      </c>
      <c r="E115" s="14">
        <v>9</v>
      </c>
      <c r="F115" s="14">
        <v>37</v>
      </c>
      <c r="G115" s="14" t="str">
        <f>IFERROR(INDEX(Teams!$B$2:$B$49,MATCH($F115,Teams!$A$2:$A$49,0)),"")</f>
        <v>Curaçao</v>
      </c>
      <c r="H115" s="14">
        <v>7</v>
      </c>
      <c r="I115" s="14" t="str">
        <f>IFERROR(INDEX(Teams!$B$2:$B$49,MATCH($H115,Teams!$A$2:$A$49,0)),"")</f>
        <v>Germany</v>
      </c>
      <c r="J115" s="14">
        <v>1</v>
      </c>
      <c r="K115" s="14">
        <v>7</v>
      </c>
      <c r="L115" s="14" t="s">
        <v>237</v>
      </c>
      <c r="M115" s="14">
        <v>8</v>
      </c>
      <c r="N115" s="14">
        <v>2</v>
      </c>
      <c r="O115" s="14">
        <v>35</v>
      </c>
      <c r="P115" s="14">
        <v>1</v>
      </c>
      <c r="Q115" s="14">
        <v>11</v>
      </c>
      <c r="R115" s="14">
        <v>0</v>
      </c>
      <c r="S115" s="14">
        <v>0</v>
      </c>
      <c r="T115" s="14">
        <v>1</v>
      </c>
      <c r="U115" s="14">
        <v>-6</v>
      </c>
      <c r="V115" s="14">
        <v>0</v>
      </c>
      <c r="W115" s="14" t="b">
        <f>FALSE()</f>
        <v>0</v>
      </c>
    </row>
    <row r="116" spans="1:23" x14ac:dyDescent="0.3">
      <c r="A116" s="14">
        <v>11</v>
      </c>
      <c r="B116" s="14" t="s">
        <v>189</v>
      </c>
      <c r="C116" s="14" t="s">
        <v>34</v>
      </c>
      <c r="D116" s="14" t="s">
        <v>90</v>
      </c>
      <c r="E116" s="14">
        <v>8</v>
      </c>
      <c r="F116" s="14">
        <v>20</v>
      </c>
      <c r="G116" s="14" t="str">
        <f>IFERROR(INDEX(Teams!$B$2:$B$49,MATCH($F116,Teams!$A$2:$A$49,0)),"")</f>
        <v>Japan</v>
      </c>
      <c r="H116" s="14">
        <v>9</v>
      </c>
      <c r="I116" s="14" t="str">
        <f>IFERROR(INDEX(Teams!$B$2:$B$49,MATCH($H116,Teams!$A$2:$A$49,0)),"")</f>
        <v>Netherlands</v>
      </c>
      <c r="J116" s="14">
        <v>2</v>
      </c>
      <c r="K116" s="14">
        <v>2</v>
      </c>
      <c r="L116" s="14" t="s">
        <v>236</v>
      </c>
      <c r="M116" s="14">
        <v>10</v>
      </c>
      <c r="N116" s="14">
        <v>3</v>
      </c>
      <c r="O116" s="14">
        <v>40</v>
      </c>
      <c r="P116" s="14">
        <v>4</v>
      </c>
      <c r="Q116" s="14">
        <v>7</v>
      </c>
      <c r="R116" s="14">
        <v>0</v>
      </c>
      <c r="S116" s="14">
        <v>0</v>
      </c>
      <c r="T116" s="14">
        <v>0</v>
      </c>
      <c r="U116" s="14">
        <v>0</v>
      </c>
      <c r="V116" s="14">
        <v>1</v>
      </c>
      <c r="W116" s="14" t="b">
        <f>FALSE()</f>
        <v>0</v>
      </c>
    </row>
    <row r="117" spans="1:23" x14ac:dyDescent="0.3">
      <c r="A117" s="14">
        <v>12</v>
      </c>
      <c r="B117" s="14" t="s">
        <v>189</v>
      </c>
      <c r="C117" s="14" t="s">
        <v>34</v>
      </c>
      <c r="D117" s="14" t="s">
        <v>90</v>
      </c>
      <c r="E117" s="14">
        <v>5</v>
      </c>
      <c r="F117" s="14">
        <v>46</v>
      </c>
      <c r="G117" s="14" t="str">
        <f>IFERROR(INDEX(Teams!$B$2:$B$49,MATCH($F117,Teams!$A$2:$A$49,0)),"")</f>
        <v>Tunisia</v>
      </c>
      <c r="H117" s="14">
        <v>35</v>
      </c>
      <c r="I117" s="14" t="str">
        <f>IFERROR(INDEX(Teams!$B$2:$B$49,MATCH($H117,Teams!$A$2:$A$49,0)),"")</f>
        <v>Sweden</v>
      </c>
      <c r="J117" s="14">
        <v>1</v>
      </c>
      <c r="K117" s="14">
        <v>5</v>
      </c>
      <c r="L117" s="14" t="s">
        <v>237</v>
      </c>
      <c r="M117" s="14">
        <v>6</v>
      </c>
      <c r="N117" s="14">
        <v>2</v>
      </c>
      <c r="O117" s="14">
        <v>51</v>
      </c>
      <c r="P117" s="14">
        <v>2</v>
      </c>
      <c r="Q117" s="14">
        <v>8</v>
      </c>
      <c r="R117" s="14">
        <v>1</v>
      </c>
      <c r="S117" s="14">
        <v>0</v>
      </c>
      <c r="T117" s="14">
        <v>6</v>
      </c>
      <c r="U117" s="14">
        <v>-4</v>
      </c>
      <c r="V117" s="14">
        <v>0</v>
      </c>
      <c r="W117" s="14" t="b">
        <f>FALSE()</f>
        <v>0</v>
      </c>
    </row>
    <row r="118" spans="1:23" x14ac:dyDescent="0.3">
      <c r="A118" s="14">
        <v>13</v>
      </c>
      <c r="B118" s="14" t="s">
        <v>190</v>
      </c>
      <c r="C118" s="14" t="s">
        <v>34</v>
      </c>
      <c r="D118" s="14" t="s">
        <v>93</v>
      </c>
      <c r="E118" s="14">
        <v>12</v>
      </c>
      <c r="F118" s="14">
        <v>36</v>
      </c>
      <c r="G118" s="14" t="str">
        <f>IFERROR(INDEX(Teams!$B$2:$B$49,MATCH($F118,Teams!$A$2:$A$49,0)),"")</f>
        <v>Uruguay</v>
      </c>
      <c r="H118" s="14">
        <v>45</v>
      </c>
      <c r="I118" s="14" t="str">
        <f>IFERROR(INDEX(Teams!$B$2:$B$49,MATCH($H118,Teams!$A$2:$A$49,0)),"")</f>
        <v>Saudi Arabia</v>
      </c>
      <c r="J118" s="14">
        <v>1</v>
      </c>
      <c r="K118" s="14">
        <v>1</v>
      </c>
      <c r="L118" s="14" t="s">
        <v>236</v>
      </c>
      <c r="M118" s="14">
        <v>27</v>
      </c>
      <c r="N118" s="14">
        <v>10</v>
      </c>
      <c r="O118" s="14">
        <v>67</v>
      </c>
      <c r="P118" s="14">
        <v>14</v>
      </c>
      <c r="Q118" s="14">
        <v>6</v>
      </c>
      <c r="R118" s="14">
        <v>0</v>
      </c>
      <c r="S118" s="14">
        <v>0</v>
      </c>
      <c r="T118" s="14">
        <v>6</v>
      </c>
      <c r="U118" s="14">
        <v>0</v>
      </c>
      <c r="V118" s="14">
        <v>1</v>
      </c>
      <c r="W118" s="14" t="b">
        <f>FALSE()</f>
        <v>0</v>
      </c>
    </row>
    <row r="119" spans="1:23" x14ac:dyDescent="0.3">
      <c r="A119" s="14">
        <v>14</v>
      </c>
      <c r="B119" s="14" t="s">
        <v>190</v>
      </c>
      <c r="C119" s="14" t="s">
        <v>34</v>
      </c>
      <c r="D119" s="14" t="s">
        <v>93</v>
      </c>
      <c r="E119" s="14">
        <v>6</v>
      </c>
      <c r="F119" s="14">
        <v>15</v>
      </c>
      <c r="G119" s="14" t="str">
        <f>IFERROR(INDEX(Teams!$B$2:$B$49,MATCH($F119,Teams!$A$2:$A$49,0)),"")</f>
        <v>Cabo Verde</v>
      </c>
      <c r="H119" s="14">
        <v>10</v>
      </c>
      <c r="I119" s="14" t="str">
        <f>IFERROR(INDEX(Teams!$B$2:$B$49,MATCH($H119,Teams!$A$2:$A$49,0)),"")</f>
        <v>Spain</v>
      </c>
      <c r="J119" s="14">
        <v>0</v>
      </c>
      <c r="K119" s="14">
        <v>0</v>
      </c>
      <c r="L119" s="14" t="s">
        <v>236</v>
      </c>
      <c r="M119" s="14">
        <v>6</v>
      </c>
      <c r="N119" s="14">
        <v>1</v>
      </c>
      <c r="O119" s="14">
        <v>26</v>
      </c>
      <c r="P119" s="14">
        <v>1</v>
      </c>
      <c r="Q119" s="14">
        <v>1</v>
      </c>
      <c r="R119" s="14">
        <v>1</v>
      </c>
      <c r="S119" s="14">
        <v>0</v>
      </c>
      <c r="T119" s="14">
        <v>3</v>
      </c>
      <c r="U119" s="14">
        <v>0</v>
      </c>
      <c r="V119" s="14">
        <v>1</v>
      </c>
      <c r="W119" s="14" t="b">
        <f>TRUE()</f>
        <v>1</v>
      </c>
    </row>
    <row r="120" spans="1:23" x14ac:dyDescent="0.3">
      <c r="A120" s="14">
        <v>15</v>
      </c>
      <c r="B120" s="14" t="s">
        <v>190</v>
      </c>
      <c r="C120" s="14" t="s">
        <v>34</v>
      </c>
      <c r="D120" s="14" t="s">
        <v>69</v>
      </c>
      <c r="E120" s="14">
        <v>11</v>
      </c>
      <c r="F120" s="14">
        <v>42</v>
      </c>
      <c r="G120" s="14" t="str">
        <f>IFERROR(INDEX(Teams!$B$2:$B$49,MATCH($F120,Teams!$A$2:$A$49,0)),"")</f>
        <v>New Zealand</v>
      </c>
      <c r="H120" s="14">
        <v>30</v>
      </c>
      <c r="I120" s="14" t="str">
        <f>IFERROR(INDEX(Teams!$B$2:$B$49,MATCH($H120,Teams!$A$2:$A$49,0)),"")</f>
        <v>IR Iran</v>
      </c>
      <c r="J120" s="14">
        <v>2</v>
      </c>
      <c r="K120" s="14">
        <v>2</v>
      </c>
      <c r="L120" s="14" t="s">
        <v>236</v>
      </c>
      <c r="M120" s="14">
        <v>14</v>
      </c>
      <c r="N120" s="14">
        <v>8</v>
      </c>
      <c r="O120" s="14">
        <v>52</v>
      </c>
      <c r="P120" s="14">
        <v>1</v>
      </c>
      <c r="Q120" s="14">
        <v>8</v>
      </c>
      <c r="R120" s="14">
        <v>0</v>
      </c>
      <c r="S120" s="14">
        <v>0</v>
      </c>
      <c r="T120" s="14">
        <v>0</v>
      </c>
      <c r="U120" s="14">
        <v>0</v>
      </c>
      <c r="V120" s="14">
        <v>1</v>
      </c>
      <c r="W120" s="14" t="b">
        <f>FALSE()</f>
        <v>0</v>
      </c>
    </row>
    <row r="121" spans="1:23" x14ac:dyDescent="0.3">
      <c r="A121" s="14">
        <v>16</v>
      </c>
      <c r="B121" s="14" t="s">
        <v>190</v>
      </c>
      <c r="C121" s="14" t="s">
        <v>34</v>
      </c>
      <c r="D121" s="14" t="s">
        <v>69</v>
      </c>
      <c r="E121" s="14">
        <v>16</v>
      </c>
      <c r="F121" s="14">
        <v>19</v>
      </c>
      <c r="G121" s="14" t="str">
        <f>IFERROR(INDEX(Teams!$B$2:$B$49,MATCH($F121,Teams!$A$2:$A$49,0)),"")</f>
        <v>Egypt</v>
      </c>
      <c r="H121" s="14">
        <v>2</v>
      </c>
      <c r="I121" s="14" t="str">
        <f>IFERROR(INDEX(Teams!$B$2:$B$49,MATCH($H121,Teams!$A$2:$A$49,0)),"")</f>
        <v>Belgium</v>
      </c>
      <c r="J121" s="14">
        <v>1</v>
      </c>
      <c r="K121" s="14">
        <v>1</v>
      </c>
      <c r="L121" s="14" t="s">
        <v>236</v>
      </c>
      <c r="M121" s="14">
        <v>14</v>
      </c>
      <c r="N121" s="14">
        <v>3</v>
      </c>
      <c r="O121" s="14">
        <v>46</v>
      </c>
      <c r="P121" s="14">
        <v>7</v>
      </c>
      <c r="Q121" s="14">
        <v>15</v>
      </c>
      <c r="R121" s="14">
        <v>2</v>
      </c>
      <c r="S121" s="14">
        <v>0</v>
      </c>
      <c r="T121" s="14">
        <v>1</v>
      </c>
      <c r="U121" s="14">
        <v>0</v>
      </c>
      <c r="V121" s="14">
        <v>1</v>
      </c>
      <c r="W121" s="14" t="b">
        <f>FALSE()</f>
        <v>0</v>
      </c>
    </row>
    <row r="122" spans="1:23" x14ac:dyDescent="0.3">
      <c r="A122" s="14">
        <v>17</v>
      </c>
      <c r="B122" s="14" t="s">
        <v>191</v>
      </c>
      <c r="C122" s="14" t="s">
        <v>34</v>
      </c>
      <c r="D122" s="14" t="s">
        <v>81</v>
      </c>
      <c r="E122" s="14">
        <v>13</v>
      </c>
      <c r="F122" s="14">
        <v>34</v>
      </c>
      <c r="G122" s="14" t="str">
        <f>IFERROR(INDEX(Teams!$B$2:$B$49,MATCH($F122,Teams!$A$2:$A$49,0)),"")</f>
        <v>Senegal</v>
      </c>
      <c r="H122" s="14">
        <v>6</v>
      </c>
      <c r="I122" s="14" t="str">
        <f>IFERROR(INDEX(Teams!$B$2:$B$49,MATCH($H122,Teams!$A$2:$A$49,0)),"")</f>
        <v>France</v>
      </c>
      <c r="J122" s="14">
        <v>1</v>
      </c>
      <c r="K122" s="14">
        <v>3</v>
      </c>
      <c r="L122" s="14" t="s">
        <v>237</v>
      </c>
      <c r="M122" s="14">
        <v>6</v>
      </c>
      <c r="N122" s="14">
        <v>2</v>
      </c>
      <c r="O122" s="14">
        <v>47</v>
      </c>
      <c r="P122" s="14">
        <v>4</v>
      </c>
      <c r="Q122" s="14">
        <v>9</v>
      </c>
      <c r="R122" s="14">
        <v>0</v>
      </c>
      <c r="S122" s="14">
        <v>0</v>
      </c>
      <c r="T122" s="14">
        <v>3</v>
      </c>
      <c r="U122" s="14">
        <v>-2</v>
      </c>
      <c r="V122" s="14">
        <v>0</v>
      </c>
      <c r="W122" s="14" t="b">
        <f>FALSE()</f>
        <v>0</v>
      </c>
    </row>
    <row r="123" spans="1:23" x14ac:dyDescent="0.3">
      <c r="A123" s="14">
        <v>18</v>
      </c>
      <c r="B123" s="14" t="s">
        <v>191</v>
      </c>
      <c r="C123" s="14" t="s">
        <v>34</v>
      </c>
      <c r="D123" s="14" t="s">
        <v>81</v>
      </c>
      <c r="E123" s="14">
        <v>7</v>
      </c>
      <c r="F123" s="14">
        <v>22</v>
      </c>
      <c r="G123" s="14" t="str">
        <f>IFERROR(INDEX(Teams!$B$2:$B$49,MATCH($F123,Teams!$A$2:$A$49,0)),"")</f>
        <v>Norway</v>
      </c>
      <c r="H123" s="14">
        <v>40</v>
      </c>
      <c r="I123" s="14" t="str">
        <f>IFERROR(INDEX(Teams!$B$2:$B$49,MATCH($H123,Teams!$A$2:$A$49,0)),"")</f>
        <v>Iraq</v>
      </c>
      <c r="J123" s="14">
        <v>4</v>
      </c>
      <c r="K123" s="14">
        <v>1</v>
      </c>
      <c r="L123" s="14" t="s">
        <v>235</v>
      </c>
      <c r="M123" s="14">
        <v>12</v>
      </c>
      <c r="N123" s="14">
        <v>5</v>
      </c>
      <c r="O123" s="14">
        <v>61</v>
      </c>
      <c r="P123" s="14">
        <v>5</v>
      </c>
      <c r="Q123" s="14">
        <v>13</v>
      </c>
      <c r="R123" s="14">
        <v>0</v>
      </c>
      <c r="S123" s="14">
        <v>0</v>
      </c>
      <c r="T123" s="14">
        <v>0</v>
      </c>
      <c r="U123" s="14">
        <v>3</v>
      </c>
      <c r="V123" s="14">
        <v>3</v>
      </c>
      <c r="W123" s="14" t="b">
        <f>FALSE()</f>
        <v>0</v>
      </c>
    </row>
    <row r="124" spans="1:23" x14ac:dyDescent="0.3">
      <c r="A124" s="14">
        <v>19</v>
      </c>
      <c r="B124" s="14" t="s">
        <v>191</v>
      </c>
      <c r="C124" s="14" t="s">
        <v>34</v>
      </c>
      <c r="D124" s="14" t="s">
        <v>66</v>
      </c>
      <c r="E124" s="14">
        <v>10</v>
      </c>
      <c r="F124" s="14">
        <v>25</v>
      </c>
      <c r="G124" s="14" t="str">
        <f>IFERROR(INDEX(Teams!$B$2:$B$49,MATCH($F124,Teams!$A$2:$A$49,0)),"")</f>
        <v>Algeria</v>
      </c>
      <c r="H124" s="14">
        <v>1</v>
      </c>
      <c r="I124" s="14" t="str">
        <f>IFERROR(INDEX(Teams!$B$2:$B$49,MATCH($H124,Teams!$A$2:$A$49,0)),"")</f>
        <v>Argentina</v>
      </c>
      <c r="J124" s="14">
        <v>0</v>
      </c>
      <c r="K124" s="14">
        <v>3</v>
      </c>
      <c r="L124" s="14" t="s">
        <v>237</v>
      </c>
      <c r="M124" s="14">
        <v>7</v>
      </c>
      <c r="N124" s="14">
        <v>1</v>
      </c>
      <c r="O124" s="14">
        <v>52</v>
      </c>
      <c r="P124" s="14">
        <v>2</v>
      </c>
      <c r="Q124" s="14">
        <v>8</v>
      </c>
      <c r="R124" s="14">
        <v>0</v>
      </c>
      <c r="S124" s="14">
        <v>0</v>
      </c>
      <c r="T124" s="14">
        <v>1</v>
      </c>
      <c r="U124" s="14">
        <v>-3</v>
      </c>
      <c r="V124" s="14">
        <v>0</v>
      </c>
      <c r="W124" s="14" t="b">
        <f>FALSE()</f>
        <v>0</v>
      </c>
    </row>
    <row r="125" spans="1:23" x14ac:dyDescent="0.3">
      <c r="A125" s="14">
        <v>20</v>
      </c>
      <c r="B125" s="14" t="s">
        <v>191</v>
      </c>
      <c r="C125" s="14" t="s">
        <v>34</v>
      </c>
      <c r="D125" s="14" t="s">
        <v>66</v>
      </c>
      <c r="E125" s="14">
        <v>15</v>
      </c>
      <c r="F125" s="14">
        <v>41</v>
      </c>
      <c r="G125" s="14" t="str">
        <f>IFERROR(INDEX(Teams!$B$2:$B$49,MATCH($F125,Teams!$A$2:$A$49,0)),"")</f>
        <v>Jordan</v>
      </c>
      <c r="H125" s="14">
        <v>14</v>
      </c>
      <c r="I125" s="14" t="str">
        <f>IFERROR(INDEX(Teams!$B$2:$B$49,MATCH($H125,Teams!$A$2:$A$49,0)),"")</f>
        <v>Austria</v>
      </c>
      <c r="J125" s="14">
        <v>1</v>
      </c>
      <c r="K125" s="14">
        <v>3</v>
      </c>
      <c r="L125" s="14" t="s">
        <v>237</v>
      </c>
      <c r="M125" s="14">
        <v>11</v>
      </c>
      <c r="N125" s="14">
        <v>4</v>
      </c>
      <c r="O125" s="14">
        <v>37</v>
      </c>
      <c r="P125" s="14">
        <v>3</v>
      </c>
      <c r="Q125" s="14">
        <v>7</v>
      </c>
      <c r="R125" s="14">
        <v>0</v>
      </c>
      <c r="S125" s="14">
        <v>0</v>
      </c>
      <c r="T125" s="14">
        <v>1</v>
      </c>
      <c r="U125" s="14">
        <v>-2</v>
      </c>
      <c r="V125" s="14">
        <v>0</v>
      </c>
      <c r="W125" s="14" t="b">
        <f>FALSE()</f>
        <v>0</v>
      </c>
    </row>
    <row r="126" spans="1:23" x14ac:dyDescent="0.3">
      <c r="A126" s="14">
        <v>21</v>
      </c>
      <c r="B126" s="14" t="s">
        <v>192</v>
      </c>
      <c r="C126" s="14" t="s">
        <v>34</v>
      </c>
      <c r="D126" s="14" t="s">
        <v>78</v>
      </c>
      <c r="E126" s="14">
        <v>1</v>
      </c>
      <c r="F126" s="14">
        <v>43</v>
      </c>
      <c r="G126" s="14" t="str">
        <f>IFERROR(INDEX(Teams!$B$2:$B$49,MATCH($F126,Teams!$A$2:$A$49,0)),"")</f>
        <v>Panama</v>
      </c>
      <c r="H126" s="14">
        <v>29</v>
      </c>
      <c r="I126" s="14" t="str">
        <f>IFERROR(INDEX(Teams!$B$2:$B$49,MATCH($H126,Teams!$A$2:$A$49,0)),"")</f>
        <v>Ghana</v>
      </c>
      <c r="J126" s="14">
        <v>0</v>
      </c>
      <c r="K126" s="14">
        <v>1</v>
      </c>
      <c r="L126" s="14" t="s">
        <v>237</v>
      </c>
      <c r="M126" s="14">
        <v>11</v>
      </c>
      <c r="N126" s="14">
        <v>4</v>
      </c>
      <c r="O126" s="14">
        <v>62</v>
      </c>
      <c r="P126" s="14">
        <v>2</v>
      </c>
      <c r="Q126" s="14">
        <v>11</v>
      </c>
      <c r="R126" s="14">
        <v>2</v>
      </c>
      <c r="S126" s="14">
        <v>0</v>
      </c>
      <c r="T126" s="14">
        <v>1</v>
      </c>
      <c r="U126" s="14">
        <v>-1</v>
      </c>
      <c r="V126" s="14">
        <v>0</v>
      </c>
      <c r="W126" s="14" t="b">
        <f>FALSE()</f>
        <v>0</v>
      </c>
    </row>
    <row r="127" spans="1:23" x14ac:dyDescent="0.3">
      <c r="A127" s="14">
        <v>22</v>
      </c>
      <c r="B127" s="14" t="s">
        <v>192</v>
      </c>
      <c r="C127" s="14" t="s">
        <v>34</v>
      </c>
      <c r="D127" s="14" t="s">
        <v>78</v>
      </c>
      <c r="E127" s="14">
        <v>8</v>
      </c>
      <c r="F127" s="14">
        <v>18</v>
      </c>
      <c r="G127" s="14" t="str">
        <f>IFERROR(INDEX(Teams!$B$2:$B$49,MATCH($F127,Teams!$A$2:$A$49,0)),"")</f>
        <v>Croatia</v>
      </c>
      <c r="H127" s="14">
        <v>5</v>
      </c>
      <c r="I127" s="14" t="str">
        <f>IFERROR(INDEX(Teams!$B$2:$B$49,MATCH($H127,Teams!$A$2:$A$49,0)),"")</f>
        <v>England</v>
      </c>
      <c r="J127" s="14">
        <v>2</v>
      </c>
      <c r="K127" s="14">
        <v>4</v>
      </c>
      <c r="L127" s="14" t="s">
        <v>237</v>
      </c>
      <c r="M127" s="14">
        <v>10</v>
      </c>
      <c r="N127" s="14">
        <v>5</v>
      </c>
      <c r="O127" s="14">
        <v>48</v>
      </c>
      <c r="P127" s="14">
        <v>2</v>
      </c>
      <c r="Q127" s="14">
        <v>12</v>
      </c>
      <c r="R127" s="14">
        <v>0</v>
      </c>
      <c r="S127" s="14">
        <v>0</v>
      </c>
      <c r="T127" s="14">
        <v>1</v>
      </c>
      <c r="U127" s="14">
        <v>-2</v>
      </c>
      <c r="V127" s="14">
        <v>0</v>
      </c>
      <c r="W127" s="14" t="b">
        <f>FALSE()</f>
        <v>0</v>
      </c>
    </row>
    <row r="128" spans="1:23" x14ac:dyDescent="0.3">
      <c r="A128" s="14">
        <v>23</v>
      </c>
      <c r="B128" s="14" t="s">
        <v>192</v>
      </c>
      <c r="C128" s="14" t="s">
        <v>34</v>
      </c>
      <c r="D128" s="14" t="s">
        <v>75</v>
      </c>
      <c r="E128" s="14">
        <v>9</v>
      </c>
      <c r="F128" s="14">
        <v>27</v>
      </c>
      <c r="G128" s="14" t="str">
        <f>IFERROR(INDEX(Teams!$B$2:$B$49,MATCH($F128,Teams!$A$2:$A$49,0)),"")</f>
        <v>Congo DR</v>
      </c>
      <c r="H128" s="14">
        <v>23</v>
      </c>
      <c r="I128" s="14" t="str">
        <f>IFERROR(INDEX(Teams!$B$2:$B$49,MATCH($H128,Teams!$A$2:$A$49,0)),"")</f>
        <v>Portugal</v>
      </c>
      <c r="J128" s="14">
        <v>1</v>
      </c>
      <c r="K128" s="14">
        <v>1</v>
      </c>
      <c r="L128" s="14" t="s">
        <v>236</v>
      </c>
      <c r="M128" s="14">
        <v>8</v>
      </c>
      <c r="N128" s="14">
        <v>2</v>
      </c>
      <c r="O128" s="14">
        <v>25</v>
      </c>
      <c r="P128" s="14">
        <v>4</v>
      </c>
      <c r="Q128" s="14">
        <v>10</v>
      </c>
      <c r="R128" s="14">
        <v>1</v>
      </c>
      <c r="S128" s="14">
        <v>0</v>
      </c>
      <c r="T128" s="14">
        <v>2</v>
      </c>
      <c r="U128" s="14">
        <v>0</v>
      </c>
      <c r="V128" s="14">
        <v>1</v>
      </c>
      <c r="W128" s="14" t="b">
        <f>FALSE()</f>
        <v>0</v>
      </c>
    </row>
    <row r="129" spans="1:23" x14ac:dyDescent="0.3">
      <c r="A129" s="14">
        <v>24</v>
      </c>
      <c r="B129" s="14" t="s">
        <v>192</v>
      </c>
      <c r="C129" s="14" t="s">
        <v>34</v>
      </c>
      <c r="D129" s="14" t="s">
        <v>75</v>
      </c>
      <c r="E129" s="14">
        <v>3</v>
      </c>
      <c r="F129" s="14">
        <v>4</v>
      </c>
      <c r="G129" s="14" t="str">
        <f>IFERROR(INDEX(Teams!$B$2:$B$49,MATCH($F129,Teams!$A$2:$A$49,0)),"")</f>
        <v>Colombia</v>
      </c>
      <c r="H129" s="14">
        <v>48</v>
      </c>
      <c r="I129" s="14" t="str">
        <f>IFERROR(INDEX(Teams!$B$2:$B$49,MATCH($H129,Teams!$A$2:$A$49,0)),"")</f>
        <v>Uzbekistan</v>
      </c>
      <c r="J129" s="14">
        <v>3</v>
      </c>
      <c r="K129" s="14">
        <v>1</v>
      </c>
      <c r="L129" s="14" t="s">
        <v>235</v>
      </c>
      <c r="M129" s="14">
        <v>15</v>
      </c>
      <c r="N129" s="14">
        <v>4</v>
      </c>
      <c r="O129" s="14">
        <v>61</v>
      </c>
      <c r="P129" s="14">
        <v>4</v>
      </c>
      <c r="Q129" s="14">
        <v>11</v>
      </c>
      <c r="R129" s="14">
        <v>1</v>
      </c>
      <c r="S129" s="14">
        <v>0</v>
      </c>
      <c r="T129" s="14">
        <v>3</v>
      </c>
      <c r="U129" s="14">
        <v>2</v>
      </c>
      <c r="V129" s="14">
        <v>3</v>
      </c>
      <c r="W129" s="14" t="b">
        <f>FALSE()</f>
        <v>0</v>
      </c>
    </row>
    <row r="130" spans="1:23" x14ac:dyDescent="0.3">
      <c r="A130" s="14">
        <v>25</v>
      </c>
      <c r="B130" s="14" t="s">
        <v>193</v>
      </c>
      <c r="C130" s="14" t="s">
        <v>34</v>
      </c>
      <c r="D130" s="14" t="s">
        <v>87</v>
      </c>
      <c r="E130" s="14">
        <v>6</v>
      </c>
      <c r="F130" s="14">
        <v>24</v>
      </c>
      <c r="G130" s="14" t="str">
        <f>IFERROR(INDEX(Teams!$B$2:$B$49,MATCH($F130,Teams!$A$2:$A$49,0)),"")</f>
        <v>South Africa</v>
      </c>
      <c r="H130" s="14">
        <v>38</v>
      </c>
      <c r="I130" s="14" t="str">
        <f>IFERROR(INDEX(Teams!$B$2:$B$49,MATCH($H130,Teams!$A$2:$A$49,0)),"")</f>
        <v>Czechia</v>
      </c>
      <c r="J130" s="14">
        <v>1</v>
      </c>
      <c r="K130" s="14">
        <v>1</v>
      </c>
      <c r="L130" s="14" t="s">
        <v>236</v>
      </c>
      <c r="M130" s="14">
        <v>17</v>
      </c>
      <c r="N130" s="14">
        <v>4</v>
      </c>
      <c r="O130" s="14">
        <v>62</v>
      </c>
      <c r="P130" s="14">
        <v>5</v>
      </c>
      <c r="Q130" s="14">
        <v>10</v>
      </c>
      <c r="R130" s="14">
        <v>2</v>
      </c>
      <c r="S130" s="14">
        <v>0</v>
      </c>
      <c r="T130" s="14">
        <v>3</v>
      </c>
      <c r="U130" s="14">
        <v>0</v>
      </c>
      <c r="V130" s="14">
        <v>1</v>
      </c>
      <c r="W130" s="14" t="b">
        <f>FALSE()</f>
        <v>0</v>
      </c>
    </row>
    <row r="131" spans="1:23" x14ac:dyDescent="0.3">
      <c r="A131" s="14">
        <v>26</v>
      </c>
      <c r="B131" s="14" t="s">
        <v>193</v>
      </c>
      <c r="C131" s="14" t="s">
        <v>34</v>
      </c>
      <c r="D131" s="14" t="s">
        <v>96</v>
      </c>
      <c r="E131" s="14">
        <v>11</v>
      </c>
      <c r="F131" s="14">
        <v>26</v>
      </c>
      <c r="G131" s="14" t="str">
        <f>IFERROR(INDEX(Teams!$B$2:$B$49,MATCH($F131,Teams!$A$2:$A$49,0)),"")</f>
        <v>Bosnia and Herzegovina</v>
      </c>
      <c r="H131" s="14">
        <v>11</v>
      </c>
      <c r="I131" s="14" t="str">
        <f>IFERROR(INDEX(Teams!$B$2:$B$49,MATCH($H131,Teams!$A$2:$A$49,0)),"")</f>
        <v>Switzerland</v>
      </c>
      <c r="J131" s="14">
        <v>1</v>
      </c>
      <c r="K131" s="14">
        <v>4</v>
      </c>
      <c r="L131" s="14" t="s">
        <v>237</v>
      </c>
      <c r="M131" s="14">
        <v>5</v>
      </c>
      <c r="N131" s="14">
        <v>3</v>
      </c>
      <c r="O131" s="14">
        <v>38</v>
      </c>
      <c r="P131" s="14">
        <v>3</v>
      </c>
      <c r="Q131" s="14">
        <v>18</v>
      </c>
      <c r="R131" s="14">
        <v>2</v>
      </c>
      <c r="S131" s="14">
        <v>1</v>
      </c>
      <c r="T131" s="14">
        <v>1</v>
      </c>
      <c r="U131" s="14">
        <v>-3</v>
      </c>
      <c r="V131" s="14">
        <v>0</v>
      </c>
      <c r="W131" s="14" t="b">
        <f>FALSE()</f>
        <v>0</v>
      </c>
    </row>
    <row r="132" spans="1:23" x14ac:dyDescent="0.3">
      <c r="A132" s="14">
        <v>27</v>
      </c>
      <c r="B132" s="14" t="s">
        <v>193</v>
      </c>
      <c r="C132" s="14" t="s">
        <v>34</v>
      </c>
      <c r="D132" s="14" t="s">
        <v>96</v>
      </c>
      <c r="E132" s="14">
        <v>2</v>
      </c>
      <c r="F132" s="14">
        <v>44</v>
      </c>
      <c r="G132" s="14" t="str">
        <f>IFERROR(INDEX(Teams!$B$2:$B$49,MATCH($F132,Teams!$A$2:$A$49,0)),"")</f>
        <v>Qatar</v>
      </c>
      <c r="H132" s="14">
        <v>16</v>
      </c>
      <c r="I132" s="14" t="str">
        <f>IFERROR(INDEX(Teams!$B$2:$B$49,MATCH($H132,Teams!$A$2:$A$49,0)),"")</f>
        <v>Canada</v>
      </c>
      <c r="J132" s="14">
        <v>0</v>
      </c>
      <c r="K132" s="14">
        <v>6</v>
      </c>
      <c r="L132" s="14" t="s">
        <v>237</v>
      </c>
      <c r="M132" s="14">
        <v>2</v>
      </c>
      <c r="N132" s="14">
        <v>0</v>
      </c>
      <c r="O132" s="14">
        <v>21</v>
      </c>
      <c r="P132" s="14">
        <v>1</v>
      </c>
      <c r="Q132" s="14">
        <v>10</v>
      </c>
      <c r="R132" s="14">
        <v>1</v>
      </c>
      <c r="S132" s="14">
        <v>2</v>
      </c>
      <c r="T132" s="14">
        <v>1</v>
      </c>
      <c r="U132" s="14">
        <v>-6</v>
      </c>
      <c r="V132" s="14">
        <v>0</v>
      </c>
      <c r="W132" s="14" t="b">
        <f>FALSE()</f>
        <v>0</v>
      </c>
    </row>
    <row r="133" spans="1:23" x14ac:dyDescent="0.3">
      <c r="A133" s="14">
        <v>28</v>
      </c>
      <c r="B133" s="14" t="s">
        <v>193</v>
      </c>
      <c r="C133" s="14" t="s">
        <v>34</v>
      </c>
      <c r="D133" s="14" t="s">
        <v>87</v>
      </c>
      <c r="E133" s="14">
        <v>4</v>
      </c>
      <c r="F133" s="14">
        <v>31</v>
      </c>
      <c r="G133" s="14" t="str">
        <f>IFERROR(INDEX(Teams!$B$2:$B$49,MATCH($F133,Teams!$A$2:$A$49,0)),"")</f>
        <v>Korea Republic</v>
      </c>
      <c r="H133" s="14">
        <v>8</v>
      </c>
      <c r="I133" s="14" t="str">
        <f>IFERROR(INDEX(Teams!$B$2:$B$49,MATCH($H133,Teams!$A$2:$A$49,0)),"")</f>
        <v>Mexico</v>
      </c>
      <c r="J133" s="14">
        <v>0</v>
      </c>
      <c r="K133" s="14">
        <v>1</v>
      </c>
      <c r="L133" s="14" t="s">
        <v>237</v>
      </c>
      <c r="M133" s="14">
        <v>9</v>
      </c>
      <c r="N133" s="14">
        <v>2</v>
      </c>
      <c r="O133" s="14">
        <v>58</v>
      </c>
      <c r="P133" s="14">
        <v>2</v>
      </c>
      <c r="Q133" s="14">
        <v>7</v>
      </c>
      <c r="R133" s="14">
        <v>2</v>
      </c>
      <c r="S133" s="14">
        <v>0</v>
      </c>
      <c r="T133" s="14">
        <v>6</v>
      </c>
      <c r="U133" s="14">
        <v>-1</v>
      </c>
      <c r="V133" s="14">
        <v>0</v>
      </c>
      <c r="W133" s="14" t="b">
        <f>FALSE()</f>
        <v>0</v>
      </c>
    </row>
    <row r="134" spans="1:23" x14ac:dyDescent="0.3">
      <c r="A134" s="14">
        <v>29</v>
      </c>
      <c r="B134" s="14" t="s">
        <v>194</v>
      </c>
      <c r="C134" s="14" t="s">
        <v>34</v>
      </c>
      <c r="D134" s="14" t="s">
        <v>72</v>
      </c>
      <c r="E134" s="14">
        <v>14</v>
      </c>
      <c r="F134" s="14">
        <v>39</v>
      </c>
      <c r="G134" s="14" t="str">
        <f>IFERROR(INDEX(Teams!$B$2:$B$49,MATCH($F134,Teams!$A$2:$A$49,0)),"")</f>
        <v>Haiti</v>
      </c>
      <c r="H134" s="14">
        <v>3</v>
      </c>
      <c r="I134" s="14" t="str">
        <f>IFERROR(INDEX(Teams!$B$2:$B$49,MATCH($H134,Teams!$A$2:$A$49,0)),"")</f>
        <v>Brazil</v>
      </c>
      <c r="J134" s="14">
        <v>0</v>
      </c>
      <c r="K134" s="14">
        <v>3</v>
      </c>
      <c r="L134" s="14" t="s">
        <v>237</v>
      </c>
      <c r="M134" s="14">
        <v>7</v>
      </c>
      <c r="N134" s="14">
        <v>3</v>
      </c>
      <c r="O134" s="14">
        <v>43</v>
      </c>
      <c r="P134" s="14">
        <v>4</v>
      </c>
      <c r="Q134" s="14">
        <v>14</v>
      </c>
      <c r="R134" s="14">
        <v>3</v>
      </c>
      <c r="S134" s="14">
        <v>0</v>
      </c>
      <c r="T134" s="14">
        <v>4</v>
      </c>
      <c r="U134" s="14">
        <v>-3</v>
      </c>
      <c r="V134" s="14">
        <v>0</v>
      </c>
      <c r="W134" s="14" t="b">
        <f>FALSE()</f>
        <v>0</v>
      </c>
    </row>
    <row r="135" spans="1:23" x14ac:dyDescent="0.3">
      <c r="A135" s="14">
        <v>30</v>
      </c>
      <c r="B135" s="14" t="s">
        <v>194</v>
      </c>
      <c r="C135" s="14" t="s">
        <v>34</v>
      </c>
      <c r="D135" s="14" t="s">
        <v>72</v>
      </c>
      <c r="E135" s="14">
        <v>7</v>
      </c>
      <c r="F135" s="14">
        <v>21</v>
      </c>
      <c r="G135" s="14" t="str">
        <f>IFERROR(INDEX(Teams!$B$2:$B$49,MATCH($F135,Teams!$A$2:$A$49,0)),"")</f>
        <v>Morocco</v>
      </c>
      <c r="H135" s="14">
        <v>33</v>
      </c>
      <c r="I135" s="14" t="str">
        <f>IFERROR(INDEX(Teams!$B$2:$B$49,MATCH($H135,Teams!$A$2:$A$49,0)),"")</f>
        <v>Scotland</v>
      </c>
      <c r="J135" s="14">
        <v>1</v>
      </c>
      <c r="K135" s="14">
        <v>0</v>
      </c>
      <c r="L135" s="14" t="s">
        <v>235</v>
      </c>
      <c r="M135" s="14">
        <v>12</v>
      </c>
      <c r="N135" s="14">
        <v>2</v>
      </c>
      <c r="O135" s="14">
        <v>59</v>
      </c>
      <c r="P135" s="14">
        <v>5</v>
      </c>
      <c r="Q135" s="14">
        <v>8</v>
      </c>
      <c r="R135" s="14">
        <v>1</v>
      </c>
      <c r="S135" s="14">
        <v>0</v>
      </c>
      <c r="T135" s="14">
        <v>0</v>
      </c>
      <c r="U135" s="14">
        <v>1</v>
      </c>
      <c r="V135" s="14">
        <v>3</v>
      </c>
      <c r="W135" s="14" t="b">
        <f>TRUE()</f>
        <v>1</v>
      </c>
    </row>
    <row r="136" spans="1:23" x14ac:dyDescent="0.3">
      <c r="A136" s="14">
        <v>31</v>
      </c>
      <c r="B136" s="14" t="s">
        <v>194</v>
      </c>
      <c r="C136" s="14" t="s">
        <v>34</v>
      </c>
      <c r="D136" s="14" t="s">
        <v>98</v>
      </c>
      <c r="E136" s="14">
        <v>15</v>
      </c>
      <c r="F136" s="14">
        <v>32</v>
      </c>
      <c r="G136" s="14" t="str">
        <f>IFERROR(INDEX(Teams!$B$2:$B$49,MATCH($F136,Teams!$A$2:$A$49,0)),"")</f>
        <v>Paraguay</v>
      </c>
      <c r="H136" s="14">
        <v>47</v>
      </c>
      <c r="I136" s="14" t="str">
        <f>IFERROR(INDEX(Teams!$B$2:$B$49,MATCH($H136,Teams!$A$2:$A$49,0)),"")</f>
        <v>Türkiye</v>
      </c>
      <c r="J136" s="14">
        <v>1</v>
      </c>
      <c r="K136" s="14">
        <v>0</v>
      </c>
      <c r="L136" s="14" t="s">
        <v>235</v>
      </c>
      <c r="M136" s="14">
        <v>7</v>
      </c>
      <c r="N136" s="14">
        <v>2</v>
      </c>
      <c r="O136" s="14">
        <v>22</v>
      </c>
      <c r="P136" s="14">
        <v>0</v>
      </c>
      <c r="Q136" s="14">
        <v>15</v>
      </c>
      <c r="R136" s="14">
        <v>1</v>
      </c>
      <c r="S136" s="14">
        <v>1</v>
      </c>
      <c r="T136" s="14">
        <v>3</v>
      </c>
      <c r="U136" s="14">
        <v>1</v>
      </c>
      <c r="V136" s="14">
        <v>3</v>
      </c>
      <c r="W136" s="14" t="b">
        <f>TRUE()</f>
        <v>1</v>
      </c>
    </row>
    <row r="137" spans="1:23" x14ac:dyDescent="0.3">
      <c r="A137" s="14">
        <v>32</v>
      </c>
      <c r="B137" s="14" t="s">
        <v>194</v>
      </c>
      <c r="C137" s="14" t="s">
        <v>34</v>
      </c>
      <c r="D137" s="14" t="s">
        <v>98</v>
      </c>
      <c r="E137" s="14">
        <v>16</v>
      </c>
      <c r="F137" s="14">
        <v>13</v>
      </c>
      <c r="G137" s="14" t="str">
        <f>IFERROR(INDEX(Teams!$B$2:$B$49,MATCH($F137,Teams!$A$2:$A$49,0)),"")</f>
        <v>Australia</v>
      </c>
      <c r="H137" s="14">
        <v>12</v>
      </c>
      <c r="I137" s="14" t="str">
        <f>IFERROR(INDEX(Teams!$B$2:$B$49,MATCH($H137,Teams!$A$2:$A$49,0)),"")</f>
        <v>USA</v>
      </c>
      <c r="J137" s="14">
        <v>0</v>
      </c>
      <c r="K137" s="14">
        <v>2</v>
      </c>
      <c r="L137" s="14" t="s">
        <v>237</v>
      </c>
      <c r="M137" s="14">
        <v>5</v>
      </c>
      <c r="N137" s="14">
        <v>2</v>
      </c>
      <c r="O137" s="14">
        <v>38</v>
      </c>
      <c r="P137" s="14">
        <v>4</v>
      </c>
      <c r="Q137" s="14">
        <v>16</v>
      </c>
      <c r="R137" s="14">
        <v>4</v>
      </c>
      <c r="S137" s="14">
        <v>0</v>
      </c>
      <c r="T137" s="14">
        <v>0</v>
      </c>
      <c r="U137" s="14">
        <v>-2</v>
      </c>
      <c r="V137" s="14">
        <v>0</v>
      </c>
      <c r="W137" s="14" t="b">
        <f>FALSE()</f>
        <v>0</v>
      </c>
    </row>
    <row r="138" spans="1:23" x14ac:dyDescent="0.3">
      <c r="A138" s="14">
        <v>33</v>
      </c>
      <c r="B138" s="14" t="s">
        <v>195</v>
      </c>
      <c r="C138" s="14" t="s">
        <v>34</v>
      </c>
      <c r="D138" s="14" t="s">
        <v>84</v>
      </c>
      <c r="E138" s="14">
        <v>1</v>
      </c>
      <c r="F138" s="14">
        <v>17</v>
      </c>
      <c r="G138" s="14" t="str">
        <f>IFERROR(INDEX(Teams!$B$2:$B$49,MATCH($F138,Teams!$A$2:$A$49,0)),"")</f>
        <v>Côte d'Ivoire</v>
      </c>
      <c r="H138" s="14">
        <v>7</v>
      </c>
      <c r="I138" s="14" t="str">
        <f>IFERROR(INDEX(Teams!$B$2:$B$49,MATCH($H138,Teams!$A$2:$A$49,0)),"")</f>
        <v>Germany</v>
      </c>
      <c r="J138" s="14">
        <v>1</v>
      </c>
      <c r="K138" s="14">
        <v>2</v>
      </c>
      <c r="L138" s="14" t="s">
        <v>237</v>
      </c>
      <c r="M138" s="14">
        <v>9</v>
      </c>
      <c r="N138" s="14">
        <v>2</v>
      </c>
      <c r="O138" s="14">
        <v>41</v>
      </c>
      <c r="P138" s="14">
        <v>3</v>
      </c>
      <c r="Q138" s="14">
        <v>7</v>
      </c>
      <c r="R138" s="14">
        <v>0</v>
      </c>
      <c r="S138" s="14">
        <v>0</v>
      </c>
      <c r="T138" s="14">
        <v>1</v>
      </c>
      <c r="U138" s="14">
        <v>-1</v>
      </c>
      <c r="V138" s="14">
        <v>0</v>
      </c>
      <c r="W138" s="14" t="b">
        <f>FALSE()</f>
        <v>0</v>
      </c>
    </row>
    <row r="139" spans="1:23" x14ac:dyDescent="0.3">
      <c r="A139" s="14">
        <v>34</v>
      </c>
      <c r="B139" s="14" t="s">
        <v>195</v>
      </c>
      <c r="C139" s="14" t="s">
        <v>34</v>
      </c>
      <c r="D139" s="14" t="s">
        <v>84</v>
      </c>
      <c r="E139" s="14">
        <v>10</v>
      </c>
      <c r="F139" s="14">
        <v>37</v>
      </c>
      <c r="G139" s="14" t="str">
        <f>IFERROR(INDEX(Teams!$B$2:$B$49,MATCH($F139,Teams!$A$2:$A$49,0)),"")</f>
        <v>Curaçao</v>
      </c>
      <c r="H139" s="14">
        <v>28</v>
      </c>
      <c r="I139" s="14" t="str">
        <f>IFERROR(INDEX(Teams!$B$2:$B$49,MATCH($H139,Teams!$A$2:$A$49,0)),"")</f>
        <v>Ecuador</v>
      </c>
      <c r="J139" s="14">
        <v>0</v>
      </c>
      <c r="K139" s="14">
        <v>0</v>
      </c>
      <c r="L139" s="14" t="s">
        <v>236</v>
      </c>
      <c r="M139" s="14">
        <v>10</v>
      </c>
      <c r="N139" s="14">
        <v>3</v>
      </c>
      <c r="O139" s="14">
        <v>25</v>
      </c>
      <c r="P139" s="14">
        <v>0</v>
      </c>
      <c r="Q139" s="14">
        <v>10</v>
      </c>
      <c r="R139" s="14">
        <v>5</v>
      </c>
      <c r="S139" s="14">
        <v>0</v>
      </c>
      <c r="T139" s="14">
        <v>2</v>
      </c>
      <c r="U139" s="14">
        <v>0</v>
      </c>
      <c r="V139" s="14">
        <v>1</v>
      </c>
      <c r="W139" s="14" t="b">
        <f>TRUE()</f>
        <v>1</v>
      </c>
    </row>
    <row r="140" spans="1:23" x14ac:dyDescent="0.3">
      <c r="A140" s="14">
        <v>35</v>
      </c>
      <c r="B140" s="14" t="s">
        <v>195</v>
      </c>
      <c r="C140" s="14" t="s">
        <v>34</v>
      </c>
      <c r="D140" s="14" t="s">
        <v>90</v>
      </c>
      <c r="E140" s="14">
        <v>9</v>
      </c>
      <c r="F140" s="14">
        <v>35</v>
      </c>
      <c r="G140" s="14" t="str">
        <f>IFERROR(INDEX(Teams!$B$2:$B$49,MATCH($F140,Teams!$A$2:$A$49,0)),"")</f>
        <v>Sweden</v>
      </c>
      <c r="H140" s="14">
        <v>9</v>
      </c>
      <c r="I140" s="14" t="str">
        <f>IFERROR(INDEX(Teams!$B$2:$B$49,MATCH($H140,Teams!$A$2:$A$49,0)),"")</f>
        <v>Netherlands</v>
      </c>
      <c r="J140" s="14">
        <v>1</v>
      </c>
      <c r="K140" s="14">
        <v>5</v>
      </c>
      <c r="L140" s="14" t="s">
        <v>237</v>
      </c>
      <c r="M140" s="14">
        <v>16</v>
      </c>
      <c r="N140" s="14">
        <v>8</v>
      </c>
      <c r="O140" s="14">
        <v>49</v>
      </c>
      <c r="P140" s="14">
        <v>5</v>
      </c>
      <c r="Q140" s="14">
        <v>12</v>
      </c>
      <c r="R140" s="14">
        <v>3</v>
      </c>
      <c r="S140" s="14">
        <v>0</v>
      </c>
      <c r="T140" s="14">
        <v>3</v>
      </c>
      <c r="U140" s="14">
        <v>-4</v>
      </c>
      <c r="V140" s="14">
        <v>0</v>
      </c>
      <c r="W140" s="14" t="b">
        <f>FALSE()</f>
        <v>0</v>
      </c>
    </row>
    <row r="141" spans="1:23" x14ac:dyDescent="0.3">
      <c r="A141" s="14">
        <v>36</v>
      </c>
      <c r="B141" s="14" t="s">
        <v>195</v>
      </c>
      <c r="C141" s="14" t="s">
        <v>34</v>
      </c>
      <c r="D141" s="14" t="s">
        <v>90</v>
      </c>
      <c r="E141" s="14">
        <v>5</v>
      </c>
      <c r="F141" s="14">
        <v>20</v>
      </c>
      <c r="G141" s="14" t="str">
        <f>IFERROR(INDEX(Teams!$B$2:$B$49,MATCH($F141,Teams!$A$2:$A$49,0)),"")</f>
        <v>Japan</v>
      </c>
      <c r="H141" s="14">
        <v>46</v>
      </c>
      <c r="I141" s="14" t="str">
        <f>IFERROR(INDEX(Teams!$B$2:$B$49,MATCH($H141,Teams!$A$2:$A$49,0)),"")</f>
        <v>Tunisia</v>
      </c>
      <c r="J141" s="14">
        <v>4</v>
      </c>
      <c r="K141" s="14">
        <v>0</v>
      </c>
      <c r="L141" s="14" t="s">
        <v>235</v>
      </c>
      <c r="M141" s="14">
        <v>11</v>
      </c>
      <c r="N141" s="14">
        <v>5</v>
      </c>
      <c r="O141" s="14">
        <v>62</v>
      </c>
      <c r="P141" s="14">
        <v>5</v>
      </c>
      <c r="Q141" s="14">
        <v>15</v>
      </c>
      <c r="R141" s="14">
        <v>0</v>
      </c>
      <c r="S141" s="14">
        <v>0</v>
      </c>
      <c r="T141" s="14">
        <v>1</v>
      </c>
      <c r="U141" s="14">
        <v>4</v>
      </c>
      <c r="V141" s="14">
        <v>3</v>
      </c>
      <c r="W141" s="14" t="b">
        <f>TRUE()</f>
        <v>1</v>
      </c>
    </row>
    <row r="142" spans="1:23" x14ac:dyDescent="0.3">
      <c r="A142" s="14">
        <v>37</v>
      </c>
      <c r="B142" s="14" t="s">
        <v>196</v>
      </c>
      <c r="C142" s="14" t="s">
        <v>34</v>
      </c>
      <c r="D142" s="14" t="s">
        <v>93</v>
      </c>
      <c r="E142" s="14">
        <v>12</v>
      </c>
      <c r="F142" s="14">
        <v>15</v>
      </c>
      <c r="G142" s="14" t="str">
        <f>IFERROR(INDEX(Teams!$B$2:$B$49,MATCH($F142,Teams!$A$2:$A$49,0)),"")</f>
        <v>Cabo Verde</v>
      </c>
      <c r="H142" s="14">
        <v>36</v>
      </c>
      <c r="I142" s="14" t="str">
        <f>IFERROR(INDEX(Teams!$B$2:$B$49,MATCH($H142,Teams!$A$2:$A$49,0)),"")</f>
        <v>Uruguay</v>
      </c>
      <c r="J142" s="14">
        <v>2</v>
      </c>
      <c r="K142" s="14">
        <v>2</v>
      </c>
      <c r="L142" s="14" t="s">
        <v>236</v>
      </c>
      <c r="M142" s="14">
        <v>12</v>
      </c>
      <c r="N142" s="14">
        <v>4</v>
      </c>
      <c r="O142" s="14">
        <v>35</v>
      </c>
      <c r="P142" s="14">
        <v>4</v>
      </c>
      <c r="Q142" s="14">
        <v>4</v>
      </c>
      <c r="R142" s="14">
        <v>2</v>
      </c>
      <c r="S142" s="14">
        <v>0</v>
      </c>
      <c r="T142" s="14">
        <v>0</v>
      </c>
      <c r="U142" s="14">
        <v>0</v>
      </c>
      <c r="V142" s="14">
        <v>1</v>
      </c>
      <c r="W142" s="14" t="b">
        <f>FALSE()</f>
        <v>0</v>
      </c>
    </row>
    <row r="143" spans="1:23" x14ac:dyDescent="0.3">
      <c r="A143" s="14">
        <v>38</v>
      </c>
      <c r="B143" s="14" t="s">
        <v>196</v>
      </c>
      <c r="C143" s="14" t="s">
        <v>34</v>
      </c>
      <c r="D143" s="14" t="s">
        <v>93</v>
      </c>
      <c r="E143" s="14">
        <v>6</v>
      </c>
      <c r="F143" s="14">
        <v>45</v>
      </c>
      <c r="G143" s="14" t="str">
        <f>IFERROR(INDEX(Teams!$B$2:$B$49,MATCH($F143,Teams!$A$2:$A$49,0)),"")</f>
        <v>Saudi Arabia</v>
      </c>
      <c r="H143" s="14">
        <v>10</v>
      </c>
      <c r="I143" s="14" t="str">
        <f>IFERROR(INDEX(Teams!$B$2:$B$49,MATCH($H143,Teams!$A$2:$A$49,0)),"")</f>
        <v>Spain</v>
      </c>
      <c r="J143" s="14">
        <v>0</v>
      </c>
      <c r="K143" s="14">
        <v>4</v>
      </c>
      <c r="L143" s="14" t="s">
        <v>237</v>
      </c>
      <c r="M143" s="14">
        <v>3</v>
      </c>
      <c r="N143" s="14">
        <v>1</v>
      </c>
      <c r="O143" s="14">
        <v>33</v>
      </c>
      <c r="P143" s="14">
        <v>1</v>
      </c>
      <c r="Q143" s="14">
        <v>2</v>
      </c>
      <c r="R143" s="14">
        <v>2</v>
      </c>
      <c r="S143" s="14">
        <v>0</v>
      </c>
      <c r="T143" s="14">
        <v>3</v>
      </c>
      <c r="U143" s="14">
        <v>-4</v>
      </c>
      <c r="V143" s="14">
        <v>0</v>
      </c>
      <c r="W143" s="14" t="b">
        <f>FALSE()</f>
        <v>0</v>
      </c>
    </row>
    <row r="144" spans="1:23" x14ac:dyDescent="0.3">
      <c r="A144" s="14">
        <v>39</v>
      </c>
      <c r="B144" s="14" t="s">
        <v>196</v>
      </c>
      <c r="C144" s="14" t="s">
        <v>34</v>
      </c>
      <c r="D144" s="14" t="s">
        <v>69</v>
      </c>
      <c r="E144" s="14">
        <v>11</v>
      </c>
      <c r="F144" s="14">
        <v>30</v>
      </c>
      <c r="G144" s="14" t="str">
        <f>IFERROR(INDEX(Teams!$B$2:$B$49,MATCH($F144,Teams!$A$2:$A$49,0)),"")</f>
        <v>IR Iran</v>
      </c>
      <c r="H144" s="14">
        <v>2</v>
      </c>
      <c r="I144" s="14" t="str">
        <f>IFERROR(INDEX(Teams!$B$2:$B$49,MATCH($H144,Teams!$A$2:$A$49,0)),"")</f>
        <v>Belgium</v>
      </c>
      <c r="J144" s="14">
        <v>0</v>
      </c>
      <c r="K144" s="14">
        <v>0</v>
      </c>
      <c r="L144" s="14" t="s">
        <v>236</v>
      </c>
      <c r="M144" s="14">
        <v>7</v>
      </c>
      <c r="N144" s="14">
        <v>3</v>
      </c>
      <c r="O144" s="14">
        <v>30</v>
      </c>
      <c r="P144" s="14">
        <v>2</v>
      </c>
      <c r="Q144" s="14">
        <v>9</v>
      </c>
      <c r="R144" s="14">
        <v>1</v>
      </c>
      <c r="S144" s="14">
        <v>0</v>
      </c>
      <c r="T144" s="14">
        <v>4</v>
      </c>
      <c r="U144" s="14">
        <v>0</v>
      </c>
      <c r="V144" s="14">
        <v>1</v>
      </c>
      <c r="W144" s="14" t="b">
        <f>TRUE()</f>
        <v>1</v>
      </c>
    </row>
    <row r="145" spans="1:23" x14ac:dyDescent="0.3">
      <c r="A145" s="14">
        <v>40</v>
      </c>
      <c r="B145" s="14" t="s">
        <v>196</v>
      </c>
      <c r="C145" s="14" t="s">
        <v>34</v>
      </c>
      <c r="D145" s="14" t="s">
        <v>69</v>
      </c>
      <c r="E145" s="14">
        <v>2</v>
      </c>
      <c r="F145" s="14">
        <v>19</v>
      </c>
      <c r="G145" s="14" t="str">
        <f>IFERROR(INDEX(Teams!$B$2:$B$49,MATCH($F145,Teams!$A$2:$A$49,0)),"")</f>
        <v>Egypt</v>
      </c>
      <c r="H145" s="14">
        <v>42</v>
      </c>
      <c r="I145" s="14" t="str">
        <f>IFERROR(INDEX(Teams!$B$2:$B$49,MATCH($H145,Teams!$A$2:$A$49,0)),"")</f>
        <v>New Zealand</v>
      </c>
      <c r="J145" s="14">
        <v>3</v>
      </c>
      <c r="K145" s="14">
        <v>1</v>
      </c>
      <c r="L145" s="14" t="s">
        <v>235</v>
      </c>
      <c r="M145" s="14">
        <v>19</v>
      </c>
      <c r="N145" s="14">
        <v>7</v>
      </c>
      <c r="O145" s="14">
        <v>56</v>
      </c>
      <c r="P145" s="14">
        <v>4</v>
      </c>
      <c r="Q145" s="14">
        <v>8</v>
      </c>
      <c r="R145" s="14">
        <v>1</v>
      </c>
      <c r="S145" s="14">
        <v>0</v>
      </c>
      <c r="T145" s="14">
        <v>0</v>
      </c>
      <c r="U145" s="14">
        <v>2</v>
      </c>
      <c r="V145" s="14">
        <v>3</v>
      </c>
      <c r="W145" s="14" t="b">
        <f>FALSE()</f>
        <v>0</v>
      </c>
    </row>
    <row r="146" spans="1:23" x14ac:dyDescent="0.3">
      <c r="A146" s="14">
        <v>41</v>
      </c>
      <c r="B146" s="14" t="s">
        <v>197</v>
      </c>
      <c r="C146" s="14" t="s">
        <v>34</v>
      </c>
      <c r="D146" s="14" t="s">
        <v>81</v>
      </c>
      <c r="E146" s="14">
        <v>13</v>
      </c>
      <c r="F146" s="14">
        <v>34</v>
      </c>
      <c r="G146" s="14" t="str">
        <f>IFERROR(INDEX(Teams!$B$2:$B$49,MATCH($F146,Teams!$A$2:$A$49,0)),"")</f>
        <v>Senegal</v>
      </c>
      <c r="H146" s="14">
        <v>22</v>
      </c>
      <c r="I146" s="14" t="str">
        <f>IFERROR(INDEX(Teams!$B$2:$B$49,MATCH($H146,Teams!$A$2:$A$49,0)),"")</f>
        <v>Norway</v>
      </c>
      <c r="J146" s="14">
        <v>2</v>
      </c>
      <c r="K146" s="14">
        <v>3</v>
      </c>
      <c r="L146" s="14" t="s">
        <v>237</v>
      </c>
      <c r="M146" s="14">
        <v>16</v>
      </c>
      <c r="N146" s="14">
        <v>4</v>
      </c>
      <c r="O146" s="14">
        <v>58</v>
      </c>
      <c r="P146" s="14">
        <v>4</v>
      </c>
      <c r="Q146" s="14">
        <v>5</v>
      </c>
      <c r="R146" s="14">
        <v>0</v>
      </c>
      <c r="S146" s="14">
        <v>0</v>
      </c>
      <c r="T146" s="14">
        <v>4</v>
      </c>
      <c r="U146" s="14">
        <v>-1</v>
      </c>
      <c r="V146" s="14">
        <v>0</v>
      </c>
      <c r="W146" s="14" t="b">
        <f>FALSE()</f>
        <v>0</v>
      </c>
    </row>
    <row r="147" spans="1:23" x14ac:dyDescent="0.3">
      <c r="A147" s="14">
        <v>42</v>
      </c>
      <c r="B147" s="14" t="s">
        <v>197</v>
      </c>
      <c r="C147" s="14" t="s">
        <v>34</v>
      </c>
      <c r="D147" s="14" t="s">
        <v>81</v>
      </c>
      <c r="E147" s="14">
        <v>14</v>
      </c>
      <c r="F147" s="14">
        <v>40</v>
      </c>
      <c r="G147" s="14" t="str">
        <f>IFERROR(INDEX(Teams!$B$2:$B$49,MATCH($F147,Teams!$A$2:$A$49,0)),"")</f>
        <v>Iraq</v>
      </c>
      <c r="H147" s="14">
        <v>6</v>
      </c>
      <c r="I147" s="14" t="str">
        <f>IFERROR(INDEX(Teams!$B$2:$B$49,MATCH($H147,Teams!$A$2:$A$49,0)),"")</f>
        <v>France</v>
      </c>
      <c r="J147" s="14">
        <v>0</v>
      </c>
      <c r="K147" s="14">
        <v>3</v>
      </c>
      <c r="L147" s="14" t="s">
        <v>237</v>
      </c>
      <c r="M147" s="14">
        <v>4</v>
      </c>
      <c r="N147" s="14">
        <v>0</v>
      </c>
      <c r="O147" s="14">
        <v>44</v>
      </c>
      <c r="P147" s="14">
        <v>2</v>
      </c>
      <c r="Q147" s="14">
        <v>4</v>
      </c>
      <c r="R147" s="14">
        <v>1</v>
      </c>
      <c r="S147" s="14">
        <v>0</v>
      </c>
      <c r="T147" s="14">
        <v>0</v>
      </c>
      <c r="U147" s="14">
        <v>-3</v>
      </c>
      <c r="V147" s="14">
        <v>0</v>
      </c>
      <c r="W147" s="14" t="b">
        <f>FALSE()</f>
        <v>0</v>
      </c>
    </row>
    <row r="148" spans="1:23" x14ac:dyDescent="0.3">
      <c r="A148" s="14">
        <v>43</v>
      </c>
      <c r="B148" s="14" t="s">
        <v>197</v>
      </c>
      <c r="C148" s="14" t="s">
        <v>34</v>
      </c>
      <c r="D148" s="14" t="s">
        <v>66</v>
      </c>
      <c r="E148" s="14">
        <v>8</v>
      </c>
      <c r="F148" s="14">
        <v>14</v>
      </c>
      <c r="G148" s="14" t="str">
        <f>IFERROR(INDEX(Teams!$B$2:$B$49,MATCH($F148,Teams!$A$2:$A$49,0)),"")</f>
        <v>Austria</v>
      </c>
      <c r="H148" s="14">
        <v>1</v>
      </c>
      <c r="I148" s="14" t="str">
        <f>IFERROR(INDEX(Teams!$B$2:$B$49,MATCH($H148,Teams!$A$2:$A$49,0)),"")</f>
        <v>Argentina</v>
      </c>
      <c r="J148" s="14">
        <v>0</v>
      </c>
      <c r="K148" s="14">
        <v>2</v>
      </c>
      <c r="L148" s="14" t="s">
        <v>237</v>
      </c>
      <c r="M148" s="14">
        <v>6</v>
      </c>
      <c r="N148" s="14">
        <v>1</v>
      </c>
      <c r="O148" s="14">
        <v>46</v>
      </c>
      <c r="P148" s="14">
        <v>3</v>
      </c>
      <c r="Q148" s="14">
        <v>13</v>
      </c>
      <c r="R148" s="14">
        <v>2</v>
      </c>
      <c r="S148" s="14">
        <v>0</v>
      </c>
      <c r="T148" s="14">
        <v>0</v>
      </c>
      <c r="U148" s="14">
        <v>-2</v>
      </c>
      <c r="V148" s="14">
        <v>0</v>
      </c>
      <c r="W148" s="14" t="b">
        <f>FALSE()</f>
        <v>0</v>
      </c>
    </row>
    <row r="149" spans="1:23" x14ac:dyDescent="0.3">
      <c r="A149" s="14">
        <v>44</v>
      </c>
      <c r="B149" s="14" t="s">
        <v>197</v>
      </c>
      <c r="C149" s="14" t="s">
        <v>34</v>
      </c>
      <c r="D149" s="14" t="s">
        <v>66</v>
      </c>
      <c r="E149" s="14">
        <v>15</v>
      </c>
      <c r="F149" s="14">
        <v>25</v>
      </c>
      <c r="G149" s="14" t="str">
        <f>IFERROR(INDEX(Teams!$B$2:$B$49,MATCH($F149,Teams!$A$2:$A$49,0)),"")</f>
        <v>Algeria</v>
      </c>
      <c r="H149" s="14">
        <v>41</v>
      </c>
      <c r="I149" s="14" t="str">
        <f>IFERROR(INDEX(Teams!$B$2:$B$49,MATCH($H149,Teams!$A$2:$A$49,0)),"")</f>
        <v>Jordan</v>
      </c>
      <c r="J149" s="14">
        <v>2</v>
      </c>
      <c r="K149" s="14">
        <v>1</v>
      </c>
      <c r="L149" s="14" t="s">
        <v>235</v>
      </c>
      <c r="M149" s="14">
        <v>17</v>
      </c>
      <c r="N149" s="14">
        <v>8</v>
      </c>
      <c r="O149" s="14">
        <v>72</v>
      </c>
      <c r="P149" s="14">
        <v>10</v>
      </c>
      <c r="Q149" s="14">
        <v>6</v>
      </c>
      <c r="R149" s="14">
        <v>1</v>
      </c>
      <c r="S149" s="14">
        <v>0</v>
      </c>
      <c r="T149" s="14">
        <v>0</v>
      </c>
      <c r="U149" s="14">
        <v>1</v>
      </c>
      <c r="V149" s="14">
        <v>3</v>
      </c>
      <c r="W149" s="14" t="b">
        <f>FALSE()</f>
        <v>0</v>
      </c>
    </row>
    <row r="150" spans="1:23" x14ac:dyDescent="0.3">
      <c r="A150" s="14">
        <v>45</v>
      </c>
      <c r="B150" s="14" t="s">
        <v>198</v>
      </c>
      <c r="C150" s="14" t="s">
        <v>34</v>
      </c>
      <c r="D150" s="14" t="s">
        <v>78</v>
      </c>
      <c r="E150" s="14">
        <v>7</v>
      </c>
      <c r="F150" s="14">
        <v>29</v>
      </c>
      <c r="G150" s="14" t="str">
        <f>IFERROR(INDEX(Teams!$B$2:$B$49,MATCH($F150,Teams!$A$2:$A$49,0)),"")</f>
        <v>Ghana</v>
      </c>
      <c r="H150" s="14">
        <v>5</v>
      </c>
      <c r="I150" s="14" t="str">
        <f>IFERROR(INDEX(Teams!$B$2:$B$49,MATCH($H150,Teams!$A$2:$A$49,0)),"")</f>
        <v>England</v>
      </c>
      <c r="J150" s="14">
        <v>0</v>
      </c>
      <c r="K150" s="14">
        <v>0</v>
      </c>
      <c r="L150" s="14" t="s">
        <v>236</v>
      </c>
      <c r="M150" s="14">
        <v>2</v>
      </c>
      <c r="N150" s="14">
        <v>1</v>
      </c>
      <c r="O150" s="14">
        <v>21</v>
      </c>
      <c r="P150" s="14">
        <v>2</v>
      </c>
      <c r="Q150" s="14">
        <v>24</v>
      </c>
      <c r="R150" s="14">
        <v>1</v>
      </c>
      <c r="S150" s="14">
        <v>0</v>
      </c>
      <c r="T150" s="14">
        <v>2</v>
      </c>
      <c r="U150" s="14">
        <v>0</v>
      </c>
      <c r="V150" s="14">
        <v>1</v>
      </c>
      <c r="W150" s="14" t="b">
        <f>TRUE()</f>
        <v>1</v>
      </c>
    </row>
    <row r="151" spans="1:23" x14ac:dyDescent="0.3">
      <c r="A151" s="14">
        <v>46</v>
      </c>
      <c r="B151" s="14" t="s">
        <v>198</v>
      </c>
      <c r="C151" s="14" t="s">
        <v>34</v>
      </c>
      <c r="D151" s="14" t="s">
        <v>78</v>
      </c>
      <c r="E151" s="14">
        <v>1</v>
      </c>
      <c r="F151" s="14">
        <v>18</v>
      </c>
      <c r="G151" s="14" t="str">
        <f>IFERROR(INDEX(Teams!$B$2:$B$49,MATCH($F151,Teams!$A$2:$A$49,0)),"")</f>
        <v>Croatia</v>
      </c>
      <c r="H151" s="14">
        <v>43</v>
      </c>
      <c r="I151" s="14" t="str">
        <f>IFERROR(INDEX(Teams!$B$2:$B$49,MATCH($H151,Teams!$A$2:$A$49,0)),"")</f>
        <v>Panama</v>
      </c>
      <c r="J151" s="14">
        <v>1</v>
      </c>
      <c r="K151" s="14">
        <v>0</v>
      </c>
      <c r="L151" s="14" t="s">
        <v>235</v>
      </c>
      <c r="M151" s="14">
        <v>6</v>
      </c>
      <c r="N151" s="14">
        <v>2</v>
      </c>
      <c r="O151" s="14">
        <v>58</v>
      </c>
      <c r="P151" s="14">
        <v>2</v>
      </c>
      <c r="Q151" s="14">
        <v>12</v>
      </c>
      <c r="R151" s="14">
        <v>1</v>
      </c>
      <c r="S151" s="14">
        <v>0</v>
      </c>
      <c r="T151" s="14">
        <v>2</v>
      </c>
      <c r="U151" s="14">
        <v>1</v>
      </c>
      <c r="V151" s="14">
        <v>3</v>
      </c>
      <c r="W151" s="14" t="b">
        <f>TRUE()</f>
        <v>1</v>
      </c>
    </row>
    <row r="152" spans="1:23" x14ac:dyDescent="0.3">
      <c r="A152" s="14">
        <v>47</v>
      </c>
      <c r="B152" s="14" t="s">
        <v>198</v>
      </c>
      <c r="C152" s="14" t="s">
        <v>34</v>
      </c>
      <c r="D152" s="14" t="s">
        <v>75</v>
      </c>
      <c r="E152" s="14">
        <v>9</v>
      </c>
      <c r="F152" s="14">
        <v>48</v>
      </c>
      <c r="G152" s="14" t="str">
        <f>IFERROR(INDEX(Teams!$B$2:$B$49,MATCH($F152,Teams!$A$2:$A$49,0)),"")</f>
        <v>Uzbekistan</v>
      </c>
      <c r="H152" s="14">
        <v>23</v>
      </c>
      <c r="I152" s="14" t="str">
        <f>IFERROR(INDEX(Teams!$B$2:$B$49,MATCH($H152,Teams!$A$2:$A$49,0)),"")</f>
        <v>Portugal</v>
      </c>
      <c r="J152" s="14">
        <v>0</v>
      </c>
      <c r="K152" s="14">
        <v>5</v>
      </c>
      <c r="L152" s="14" t="s">
        <v>237</v>
      </c>
      <c r="M152" s="14">
        <v>7</v>
      </c>
      <c r="N152" s="14">
        <v>2</v>
      </c>
      <c r="O152" s="14">
        <v>34</v>
      </c>
      <c r="P152" s="14">
        <v>2</v>
      </c>
      <c r="Q152" s="14">
        <v>15</v>
      </c>
      <c r="R152" s="14">
        <v>1</v>
      </c>
      <c r="S152" s="14">
        <v>0</v>
      </c>
      <c r="T152" s="14">
        <v>2</v>
      </c>
      <c r="U152" s="14">
        <v>-5</v>
      </c>
      <c r="V152" s="14">
        <v>0</v>
      </c>
      <c r="W152" s="14" t="b">
        <f>FALSE()</f>
        <v>0</v>
      </c>
    </row>
    <row r="153" spans="1:23" x14ac:dyDescent="0.3">
      <c r="A153" s="14">
        <v>48</v>
      </c>
      <c r="B153" s="14" t="s">
        <v>198</v>
      </c>
      <c r="C153" s="14" t="s">
        <v>34</v>
      </c>
      <c r="D153" s="14" t="s">
        <v>75</v>
      </c>
      <c r="E153" s="14">
        <v>4</v>
      </c>
      <c r="F153" s="14">
        <v>27</v>
      </c>
      <c r="G153" s="14" t="str">
        <f>IFERROR(INDEX(Teams!$B$2:$B$49,MATCH($F153,Teams!$A$2:$A$49,0)),"")</f>
        <v>Congo DR</v>
      </c>
      <c r="H153" s="14">
        <v>4</v>
      </c>
      <c r="I153" s="14" t="str">
        <f>IFERROR(INDEX(Teams!$B$2:$B$49,MATCH($H153,Teams!$A$2:$A$49,0)),"")</f>
        <v>Colombia</v>
      </c>
      <c r="J153" s="14">
        <v>0</v>
      </c>
      <c r="K153" s="14">
        <v>1</v>
      </c>
      <c r="L153" s="14" t="s">
        <v>237</v>
      </c>
      <c r="M153" s="14">
        <v>7</v>
      </c>
      <c r="N153" s="14">
        <v>1</v>
      </c>
      <c r="O153" s="14">
        <v>37</v>
      </c>
      <c r="P153" s="14">
        <v>4</v>
      </c>
      <c r="Q153" s="14">
        <v>16</v>
      </c>
      <c r="R153" s="14">
        <v>1</v>
      </c>
      <c r="S153" s="14">
        <v>0</v>
      </c>
      <c r="T153" s="14">
        <v>0</v>
      </c>
      <c r="U153" s="14">
        <v>-1</v>
      </c>
      <c r="V153" s="14">
        <v>0</v>
      </c>
      <c r="W153" s="14" t="b">
        <f>FALSE()</f>
        <v>0</v>
      </c>
    </row>
    <row r="154" spans="1:23" x14ac:dyDescent="0.3">
      <c r="A154" s="14">
        <v>49</v>
      </c>
      <c r="B154" s="14" t="s">
        <v>199</v>
      </c>
      <c r="C154" s="14" t="s">
        <v>34</v>
      </c>
      <c r="D154" s="14" t="s">
        <v>72</v>
      </c>
      <c r="E154" s="14">
        <v>12</v>
      </c>
      <c r="F154" s="14">
        <v>3</v>
      </c>
      <c r="G154" s="14" t="str">
        <f>IFERROR(INDEX(Teams!$B$2:$B$49,MATCH($F154,Teams!$A$2:$A$49,0)),"")</f>
        <v>Brazil</v>
      </c>
      <c r="H154" s="14">
        <v>33</v>
      </c>
      <c r="I154" s="14" t="str">
        <f>IFERROR(INDEX(Teams!$B$2:$B$49,MATCH($H154,Teams!$A$2:$A$49,0)),"")</f>
        <v>Scotland</v>
      </c>
      <c r="J154" s="14">
        <v>3</v>
      </c>
      <c r="K154" s="14">
        <v>0</v>
      </c>
      <c r="L154" s="14" t="s">
        <v>235</v>
      </c>
      <c r="M154" s="14">
        <v>21</v>
      </c>
      <c r="N154" s="14">
        <v>9</v>
      </c>
      <c r="O154" s="14">
        <v>54</v>
      </c>
      <c r="P154" s="14">
        <v>7</v>
      </c>
      <c r="Q154" s="14">
        <v>11</v>
      </c>
      <c r="R154" s="14">
        <v>2</v>
      </c>
      <c r="S154" s="14">
        <v>0</v>
      </c>
      <c r="T154" s="14">
        <v>1</v>
      </c>
      <c r="U154" s="14">
        <v>3</v>
      </c>
      <c r="V154" s="14">
        <v>3</v>
      </c>
      <c r="W154" s="14" t="b">
        <f>TRUE()</f>
        <v>1</v>
      </c>
    </row>
    <row r="155" spans="1:23" x14ac:dyDescent="0.3">
      <c r="A155" s="14">
        <v>50</v>
      </c>
      <c r="B155" s="14" t="s">
        <v>199</v>
      </c>
      <c r="C155" s="14" t="s">
        <v>34</v>
      </c>
      <c r="D155" s="14" t="s">
        <v>72</v>
      </c>
      <c r="E155" s="14">
        <v>6</v>
      </c>
      <c r="F155" s="14">
        <v>39</v>
      </c>
      <c r="G155" s="14" t="str">
        <f>IFERROR(INDEX(Teams!$B$2:$B$49,MATCH($F155,Teams!$A$2:$A$49,0)),"")</f>
        <v>Haiti</v>
      </c>
      <c r="H155" s="14">
        <v>21</v>
      </c>
      <c r="I155" s="14" t="str">
        <f>IFERROR(INDEX(Teams!$B$2:$B$49,MATCH($H155,Teams!$A$2:$A$49,0)),"")</f>
        <v>Morocco</v>
      </c>
      <c r="J155" s="14">
        <v>2</v>
      </c>
      <c r="K155" s="14">
        <v>4</v>
      </c>
      <c r="L155" s="14" t="s">
        <v>237</v>
      </c>
      <c r="M155" s="14">
        <v>9</v>
      </c>
      <c r="N155" s="14">
        <v>2</v>
      </c>
      <c r="O155" s="14">
        <v>31</v>
      </c>
      <c r="P155" s="14">
        <v>1</v>
      </c>
      <c r="Q155" s="14">
        <v>18</v>
      </c>
      <c r="R155" s="14">
        <v>3</v>
      </c>
      <c r="S155" s="14">
        <v>0</v>
      </c>
      <c r="T155" s="14">
        <v>0</v>
      </c>
      <c r="U155" s="14">
        <v>-2</v>
      </c>
      <c r="V155" s="14">
        <v>0</v>
      </c>
      <c r="W155" s="14" t="b">
        <f>FALSE()</f>
        <v>0</v>
      </c>
    </row>
    <row r="156" spans="1:23" x14ac:dyDescent="0.3">
      <c r="A156" s="14">
        <v>51</v>
      </c>
      <c r="B156" s="14" t="s">
        <v>199</v>
      </c>
      <c r="C156" s="14" t="s">
        <v>34</v>
      </c>
      <c r="D156" s="14" t="s">
        <v>96</v>
      </c>
      <c r="E156" s="14">
        <v>2</v>
      </c>
      <c r="F156" s="14">
        <v>16</v>
      </c>
      <c r="G156" s="14" t="str">
        <f>IFERROR(INDEX(Teams!$B$2:$B$49,MATCH($F156,Teams!$A$2:$A$49,0)),"")</f>
        <v>Canada</v>
      </c>
      <c r="H156" s="14">
        <v>11</v>
      </c>
      <c r="I156" s="14" t="str">
        <f>IFERROR(INDEX(Teams!$B$2:$B$49,MATCH($H156,Teams!$A$2:$A$49,0)),"")</f>
        <v>Switzerland</v>
      </c>
      <c r="J156" s="14">
        <v>1</v>
      </c>
      <c r="K156" s="14">
        <v>2</v>
      </c>
      <c r="L156" s="14" t="s">
        <v>237</v>
      </c>
      <c r="M156" s="14">
        <v>13</v>
      </c>
      <c r="N156" s="14">
        <v>7</v>
      </c>
      <c r="O156" s="14">
        <v>45</v>
      </c>
      <c r="P156" s="14">
        <v>7</v>
      </c>
      <c r="Q156" s="14">
        <v>13</v>
      </c>
      <c r="R156" s="14">
        <v>2</v>
      </c>
      <c r="S156" s="14">
        <v>0</v>
      </c>
      <c r="T156" s="14">
        <v>3</v>
      </c>
      <c r="U156" s="14">
        <v>-1</v>
      </c>
      <c r="V156" s="14">
        <v>0</v>
      </c>
      <c r="W156" s="14" t="b">
        <f>FALSE()</f>
        <v>0</v>
      </c>
    </row>
    <row r="157" spans="1:23" x14ac:dyDescent="0.3">
      <c r="A157" s="14">
        <v>52</v>
      </c>
      <c r="B157" s="14" t="s">
        <v>199</v>
      </c>
      <c r="C157" s="14" t="s">
        <v>34</v>
      </c>
      <c r="D157" s="14" t="s">
        <v>96</v>
      </c>
      <c r="E157" s="14">
        <v>16</v>
      </c>
      <c r="F157" s="14">
        <v>44</v>
      </c>
      <c r="G157" s="14" t="str">
        <f>IFERROR(INDEX(Teams!$B$2:$B$49,MATCH($F157,Teams!$A$2:$A$49,0)),"")</f>
        <v>Qatar</v>
      </c>
      <c r="H157" s="14">
        <v>26</v>
      </c>
      <c r="I157" s="14" t="str">
        <f>IFERROR(INDEX(Teams!$B$2:$B$49,MATCH($H157,Teams!$A$2:$A$49,0)),"")</f>
        <v>Bosnia and Herzegovina</v>
      </c>
      <c r="J157" s="14">
        <v>1</v>
      </c>
      <c r="K157" s="14">
        <v>3</v>
      </c>
      <c r="L157" s="14" t="s">
        <v>237</v>
      </c>
      <c r="M157" s="14">
        <v>9</v>
      </c>
      <c r="N157" s="14">
        <v>3</v>
      </c>
      <c r="O157" s="14">
        <v>46</v>
      </c>
      <c r="P157" s="14">
        <v>5</v>
      </c>
      <c r="Q157" s="14">
        <v>14</v>
      </c>
      <c r="R157" s="14">
        <v>1</v>
      </c>
      <c r="S157" s="14">
        <v>0</v>
      </c>
      <c r="T157" s="14">
        <v>3</v>
      </c>
      <c r="U157" s="14">
        <v>-2</v>
      </c>
      <c r="V157" s="14">
        <v>0</v>
      </c>
      <c r="W157" s="14" t="b">
        <f>FALSE()</f>
        <v>0</v>
      </c>
    </row>
    <row r="158" spans="1:23" x14ac:dyDescent="0.3">
      <c r="A158" s="14">
        <v>53</v>
      </c>
      <c r="B158" s="14" t="s">
        <v>199</v>
      </c>
      <c r="C158" s="14" t="s">
        <v>34</v>
      </c>
      <c r="D158" s="14" t="s">
        <v>87</v>
      </c>
      <c r="E158" s="14">
        <v>3</v>
      </c>
      <c r="F158" s="14">
        <v>8</v>
      </c>
      <c r="G158" s="14" t="str">
        <f>IFERROR(INDEX(Teams!$B$2:$B$49,MATCH($F158,Teams!$A$2:$A$49,0)),"")</f>
        <v>Mexico</v>
      </c>
      <c r="H158" s="14">
        <v>38</v>
      </c>
      <c r="I158" s="14" t="str">
        <f>IFERROR(INDEX(Teams!$B$2:$B$49,MATCH($H158,Teams!$A$2:$A$49,0)),"")</f>
        <v>Czechia</v>
      </c>
      <c r="J158" s="14">
        <v>3</v>
      </c>
      <c r="K158" s="14">
        <v>0</v>
      </c>
      <c r="L158" s="14" t="s">
        <v>235</v>
      </c>
      <c r="M158" s="14">
        <v>11</v>
      </c>
      <c r="N158" s="14">
        <v>5</v>
      </c>
      <c r="O158" s="14">
        <v>48</v>
      </c>
      <c r="P158" s="14">
        <v>1</v>
      </c>
      <c r="Q158" s="14">
        <v>13</v>
      </c>
      <c r="R158" s="14">
        <v>1</v>
      </c>
      <c r="S158" s="14">
        <v>0</v>
      </c>
      <c r="T158" s="14">
        <v>0</v>
      </c>
      <c r="U158" s="14">
        <v>3</v>
      </c>
      <c r="V158" s="14">
        <v>3</v>
      </c>
      <c r="W158" s="14" t="b">
        <f>TRUE()</f>
        <v>1</v>
      </c>
    </row>
    <row r="159" spans="1:23" x14ac:dyDescent="0.3">
      <c r="A159" s="14">
        <v>54</v>
      </c>
      <c r="B159" s="14" t="s">
        <v>199</v>
      </c>
      <c r="C159" s="14" t="s">
        <v>34</v>
      </c>
      <c r="D159" s="14" t="s">
        <v>87</v>
      </c>
      <c r="E159" s="14">
        <v>5</v>
      </c>
      <c r="F159" s="14">
        <v>31</v>
      </c>
      <c r="G159" s="14" t="str">
        <f>IFERROR(INDEX(Teams!$B$2:$B$49,MATCH($F159,Teams!$A$2:$A$49,0)),"")</f>
        <v>Korea Republic</v>
      </c>
      <c r="H159" s="14">
        <v>24</v>
      </c>
      <c r="I159" s="14" t="str">
        <f>IFERROR(INDEX(Teams!$B$2:$B$49,MATCH($H159,Teams!$A$2:$A$49,0)),"")</f>
        <v>South Africa</v>
      </c>
      <c r="J159" s="14">
        <v>0</v>
      </c>
      <c r="K159" s="14">
        <v>1</v>
      </c>
      <c r="L159" s="14" t="s">
        <v>237</v>
      </c>
      <c r="M159" s="14">
        <v>8</v>
      </c>
      <c r="N159" s="14">
        <v>3</v>
      </c>
      <c r="O159" s="14">
        <v>68</v>
      </c>
      <c r="P159" s="14">
        <v>6</v>
      </c>
      <c r="Q159" s="14">
        <v>9</v>
      </c>
      <c r="R159" s="14">
        <v>1</v>
      </c>
      <c r="S159" s="14">
        <v>0</v>
      </c>
      <c r="T159" s="14">
        <v>0</v>
      </c>
      <c r="U159" s="14">
        <v>-1</v>
      </c>
      <c r="V159" s="14">
        <v>0</v>
      </c>
      <c r="W159" s="14" t="b">
        <f>FALSE()</f>
        <v>0</v>
      </c>
    </row>
    <row r="160" spans="1:23" x14ac:dyDescent="0.3">
      <c r="A160" s="14">
        <v>55</v>
      </c>
      <c r="B160" s="14" t="s">
        <v>200</v>
      </c>
      <c r="C160" s="14" t="s">
        <v>34</v>
      </c>
      <c r="D160" s="14" t="s">
        <v>84</v>
      </c>
      <c r="E160" s="14">
        <v>14</v>
      </c>
      <c r="F160" s="14">
        <v>17</v>
      </c>
      <c r="G160" s="14" t="str">
        <f>IFERROR(INDEX(Teams!$B$2:$B$49,MATCH($F160,Teams!$A$2:$A$49,0)),"")</f>
        <v>Côte d'Ivoire</v>
      </c>
      <c r="H160" s="14">
        <v>37</v>
      </c>
      <c r="I160" s="14" t="str">
        <f>IFERROR(INDEX(Teams!$B$2:$B$49,MATCH($H160,Teams!$A$2:$A$49,0)),"")</f>
        <v>Curaçao</v>
      </c>
      <c r="J160" s="14">
        <v>2</v>
      </c>
      <c r="K160" s="14">
        <v>0</v>
      </c>
      <c r="L160" s="14" t="s">
        <v>235</v>
      </c>
      <c r="M160" s="14">
        <v>7</v>
      </c>
      <c r="N160" s="14">
        <v>3</v>
      </c>
      <c r="O160" s="14">
        <v>63</v>
      </c>
      <c r="P160" s="14">
        <v>6</v>
      </c>
      <c r="Q160" s="14">
        <v>6</v>
      </c>
      <c r="R160" s="14">
        <v>1</v>
      </c>
      <c r="S160" s="14">
        <v>0</v>
      </c>
      <c r="T160" s="14">
        <v>1</v>
      </c>
      <c r="U160" s="14">
        <v>2</v>
      </c>
      <c r="V160" s="14">
        <v>3</v>
      </c>
      <c r="W160" s="14" t="b">
        <f>TRUE()</f>
        <v>1</v>
      </c>
    </row>
    <row r="161" spans="1:23" x14ac:dyDescent="0.3">
      <c r="A161" s="14">
        <v>56</v>
      </c>
      <c r="B161" s="14" t="s">
        <v>200</v>
      </c>
      <c r="C161" s="14" t="s">
        <v>34</v>
      </c>
      <c r="D161" s="14" t="s">
        <v>84</v>
      </c>
      <c r="E161" s="14">
        <v>13</v>
      </c>
      <c r="F161" s="14">
        <v>7</v>
      </c>
      <c r="G161" s="14" t="str">
        <f>IFERROR(INDEX(Teams!$B$2:$B$49,MATCH($F161,Teams!$A$2:$A$49,0)),"")</f>
        <v>Germany</v>
      </c>
      <c r="H161" s="14">
        <v>28</v>
      </c>
      <c r="I161" s="14" t="str">
        <f>IFERROR(INDEX(Teams!$B$2:$B$49,MATCH($H161,Teams!$A$2:$A$49,0)),"")</f>
        <v>Ecuador</v>
      </c>
      <c r="J161" s="14">
        <v>1</v>
      </c>
      <c r="K161" s="14">
        <v>2</v>
      </c>
      <c r="L161" s="14" t="s">
        <v>237</v>
      </c>
      <c r="M161" s="14">
        <v>11</v>
      </c>
      <c r="N161" s="14">
        <v>3</v>
      </c>
      <c r="O161" s="14">
        <v>61</v>
      </c>
      <c r="P161" s="14">
        <v>2</v>
      </c>
      <c r="Q161" s="14">
        <v>10</v>
      </c>
      <c r="R161" s="14">
        <v>1</v>
      </c>
      <c r="S161" s="14">
        <v>0</v>
      </c>
      <c r="T161" s="14">
        <v>0</v>
      </c>
      <c r="U161" s="14">
        <v>-1</v>
      </c>
      <c r="V161" s="14">
        <v>0</v>
      </c>
      <c r="W161" s="14" t="b">
        <f>FALSE()</f>
        <v>0</v>
      </c>
    </row>
    <row r="162" spans="1:23" x14ac:dyDescent="0.3">
      <c r="A162" s="14">
        <v>57</v>
      </c>
      <c r="B162" s="14" t="s">
        <v>200</v>
      </c>
      <c r="C162" s="14" t="s">
        <v>34</v>
      </c>
      <c r="D162" s="14" t="s">
        <v>90</v>
      </c>
      <c r="E162" s="14">
        <v>8</v>
      </c>
      <c r="F162" s="14">
        <v>35</v>
      </c>
      <c r="G162" s="14" t="str">
        <f>IFERROR(INDEX(Teams!$B$2:$B$49,MATCH($F162,Teams!$A$2:$A$49,0)),"")</f>
        <v>Sweden</v>
      </c>
      <c r="H162" s="14">
        <v>20</v>
      </c>
      <c r="I162" s="14" t="str">
        <f>IFERROR(INDEX(Teams!$B$2:$B$49,MATCH($H162,Teams!$A$2:$A$49,0)),"")</f>
        <v>Japan</v>
      </c>
      <c r="J162" s="14">
        <v>1</v>
      </c>
      <c r="K162" s="14">
        <v>1</v>
      </c>
      <c r="L162" s="14" t="s">
        <v>236</v>
      </c>
      <c r="M162" s="14">
        <v>11</v>
      </c>
      <c r="N162" s="14">
        <v>5</v>
      </c>
      <c r="O162" s="14">
        <v>48</v>
      </c>
      <c r="P162" s="14">
        <v>8</v>
      </c>
      <c r="Q162" s="14">
        <v>11</v>
      </c>
      <c r="R162" s="14">
        <v>2</v>
      </c>
      <c r="S162" s="14">
        <v>0</v>
      </c>
      <c r="T162" s="14">
        <v>2</v>
      </c>
      <c r="U162" s="14">
        <v>0</v>
      </c>
      <c r="V162" s="14">
        <v>1</v>
      </c>
      <c r="W162" s="14" t="b">
        <f>FALSE()</f>
        <v>0</v>
      </c>
    </row>
    <row r="163" spans="1:23" x14ac:dyDescent="0.3">
      <c r="A163" s="14">
        <v>58</v>
      </c>
      <c r="B163" s="14" t="s">
        <v>200</v>
      </c>
      <c r="C163" s="14" t="s">
        <v>34</v>
      </c>
      <c r="D163" s="14" t="s">
        <v>90</v>
      </c>
      <c r="E163" s="14">
        <v>10</v>
      </c>
      <c r="F163" s="14">
        <v>9</v>
      </c>
      <c r="G163" s="14" t="str">
        <f>IFERROR(INDEX(Teams!$B$2:$B$49,MATCH($F163,Teams!$A$2:$A$49,0)),"")</f>
        <v>Netherlands</v>
      </c>
      <c r="H163" s="14">
        <v>46</v>
      </c>
      <c r="I163" s="14" t="str">
        <f>IFERROR(INDEX(Teams!$B$2:$B$49,MATCH($H163,Teams!$A$2:$A$49,0)),"")</f>
        <v>Tunisia</v>
      </c>
      <c r="J163" s="14">
        <v>3</v>
      </c>
      <c r="K163" s="14">
        <v>1</v>
      </c>
      <c r="L163" s="14" t="s">
        <v>235</v>
      </c>
      <c r="M163" s="14">
        <v>20</v>
      </c>
      <c r="N163" s="14">
        <v>7</v>
      </c>
      <c r="O163" s="14">
        <v>71</v>
      </c>
      <c r="P163" s="14">
        <v>6</v>
      </c>
      <c r="Q163" s="14">
        <v>10</v>
      </c>
      <c r="R163" s="14">
        <v>0</v>
      </c>
      <c r="S163" s="14">
        <v>0</v>
      </c>
      <c r="T163" s="14">
        <v>1</v>
      </c>
      <c r="U163" s="14">
        <v>2</v>
      </c>
      <c r="V163" s="14">
        <v>3</v>
      </c>
      <c r="W163" s="14" t="b">
        <f>FALSE()</f>
        <v>0</v>
      </c>
    </row>
    <row r="164" spans="1:23" x14ac:dyDescent="0.3">
      <c r="A164" s="14">
        <v>59</v>
      </c>
      <c r="B164" s="14" t="s">
        <v>200</v>
      </c>
      <c r="C164" s="14" t="s">
        <v>34</v>
      </c>
      <c r="D164" s="14" t="s">
        <v>98</v>
      </c>
      <c r="E164" s="14">
        <v>11</v>
      </c>
      <c r="F164" s="14">
        <v>12</v>
      </c>
      <c r="G164" s="14" t="str">
        <f>IFERROR(INDEX(Teams!$B$2:$B$49,MATCH($F164,Teams!$A$2:$A$49,0)),"")</f>
        <v>USA</v>
      </c>
      <c r="H164" s="14">
        <v>47</v>
      </c>
      <c r="I164" s="14" t="str">
        <f>IFERROR(INDEX(Teams!$B$2:$B$49,MATCH($H164,Teams!$A$2:$A$49,0)),"")</f>
        <v>Türkiye</v>
      </c>
      <c r="J164" s="14">
        <v>2</v>
      </c>
      <c r="K164" s="14">
        <v>3</v>
      </c>
      <c r="L164" s="14" t="s">
        <v>237</v>
      </c>
      <c r="M164" s="14">
        <v>18</v>
      </c>
      <c r="N164" s="14">
        <v>7</v>
      </c>
      <c r="O164" s="14">
        <v>53</v>
      </c>
      <c r="P164" s="14">
        <v>9</v>
      </c>
      <c r="Q164" s="14">
        <v>13</v>
      </c>
      <c r="R164" s="14">
        <v>1</v>
      </c>
      <c r="S164" s="14">
        <v>0</v>
      </c>
      <c r="T164" s="14">
        <v>5</v>
      </c>
      <c r="U164" s="14">
        <v>-1</v>
      </c>
      <c r="V164" s="14">
        <v>0</v>
      </c>
      <c r="W164" s="14" t="b">
        <f>FALSE()</f>
        <v>0</v>
      </c>
    </row>
    <row r="165" spans="1:23" x14ac:dyDescent="0.3">
      <c r="A165" s="14">
        <v>60</v>
      </c>
      <c r="B165" s="14" t="s">
        <v>200</v>
      </c>
      <c r="C165" s="14" t="s">
        <v>34</v>
      </c>
      <c r="D165" s="14" t="s">
        <v>98</v>
      </c>
      <c r="E165" s="14">
        <v>15</v>
      </c>
      <c r="F165" s="14">
        <v>13</v>
      </c>
      <c r="G165" s="14" t="str">
        <f>IFERROR(INDEX(Teams!$B$2:$B$49,MATCH($F165,Teams!$A$2:$A$49,0)),"")</f>
        <v>Australia</v>
      </c>
      <c r="H165" s="14">
        <v>32</v>
      </c>
      <c r="I165" s="14" t="str">
        <f>IFERROR(INDEX(Teams!$B$2:$B$49,MATCH($H165,Teams!$A$2:$A$49,0)),"")</f>
        <v>Paraguay</v>
      </c>
      <c r="J165" s="14">
        <v>0</v>
      </c>
      <c r="K165" s="14">
        <v>0</v>
      </c>
      <c r="L165" s="14" t="s">
        <v>236</v>
      </c>
      <c r="M165" s="14">
        <v>12</v>
      </c>
      <c r="N165" s="14">
        <v>5</v>
      </c>
      <c r="O165" s="14">
        <v>56</v>
      </c>
      <c r="P165" s="14">
        <v>3</v>
      </c>
      <c r="Q165" s="14">
        <v>6</v>
      </c>
      <c r="R165" s="14">
        <v>1</v>
      </c>
      <c r="S165" s="14">
        <v>0</v>
      </c>
      <c r="T165" s="14">
        <v>0</v>
      </c>
      <c r="U165" s="14">
        <v>0</v>
      </c>
      <c r="V165" s="14">
        <v>1</v>
      </c>
      <c r="W165" s="14" t="b">
        <f>TRUE()</f>
        <v>1</v>
      </c>
    </row>
    <row r="166" spans="1:23" x14ac:dyDescent="0.3">
      <c r="A166" s="14">
        <v>61</v>
      </c>
      <c r="B166" s="14" t="s">
        <v>201</v>
      </c>
      <c r="C166" s="14" t="s">
        <v>34</v>
      </c>
      <c r="D166" s="14" t="s">
        <v>81</v>
      </c>
      <c r="E166" s="14">
        <v>7</v>
      </c>
      <c r="F166" s="14">
        <v>6</v>
      </c>
      <c r="G166" s="14" t="str">
        <f>IFERROR(INDEX(Teams!$B$2:$B$49,MATCH($F166,Teams!$A$2:$A$49,0)),"")</f>
        <v>France</v>
      </c>
      <c r="H166" s="14">
        <v>22</v>
      </c>
      <c r="I166" s="14" t="str">
        <f>IFERROR(INDEX(Teams!$B$2:$B$49,MATCH($H166,Teams!$A$2:$A$49,0)),"")</f>
        <v>Norway</v>
      </c>
      <c r="J166" s="14">
        <v>4</v>
      </c>
      <c r="K166" s="14">
        <v>1</v>
      </c>
      <c r="L166" s="14" t="s">
        <v>235</v>
      </c>
      <c r="M166" s="14">
        <v>18</v>
      </c>
      <c r="N166" s="14">
        <v>9</v>
      </c>
      <c r="O166" s="14">
        <v>57</v>
      </c>
      <c r="P166" s="14">
        <v>5</v>
      </c>
      <c r="Q166" s="14">
        <v>11</v>
      </c>
      <c r="R166" s="14">
        <v>1</v>
      </c>
      <c r="S166" s="14">
        <v>0</v>
      </c>
      <c r="T166" s="14">
        <v>2</v>
      </c>
      <c r="U166" s="14">
        <v>3</v>
      </c>
      <c r="V166" s="14">
        <v>3</v>
      </c>
      <c r="W166" s="14" t="b">
        <f>FALSE()</f>
        <v>0</v>
      </c>
    </row>
    <row r="167" spans="1:23" x14ac:dyDescent="0.3">
      <c r="A167" s="14">
        <v>62</v>
      </c>
      <c r="B167" s="14" t="s">
        <v>201</v>
      </c>
      <c r="C167" s="14" t="s">
        <v>34</v>
      </c>
      <c r="D167" s="14" t="s">
        <v>81</v>
      </c>
      <c r="E167" s="14">
        <v>1</v>
      </c>
      <c r="F167" s="14">
        <v>40</v>
      </c>
      <c r="G167" s="14" t="str">
        <f>IFERROR(INDEX(Teams!$B$2:$B$49,MATCH($F167,Teams!$A$2:$A$49,0)),"")</f>
        <v>Iraq</v>
      </c>
      <c r="H167" s="14">
        <v>34</v>
      </c>
      <c r="I167" s="14" t="str">
        <f>IFERROR(INDEX(Teams!$B$2:$B$49,MATCH($H167,Teams!$A$2:$A$49,0)),"")</f>
        <v>Senegal</v>
      </c>
      <c r="J167" s="14">
        <v>0</v>
      </c>
      <c r="K167" s="14">
        <v>5</v>
      </c>
      <c r="L167" s="14" t="s">
        <v>237</v>
      </c>
      <c r="M167" s="14">
        <v>6</v>
      </c>
      <c r="N167" s="14">
        <v>1</v>
      </c>
      <c r="O167" s="14">
        <v>31</v>
      </c>
      <c r="P167" s="14">
        <v>3</v>
      </c>
      <c r="Q167" s="14">
        <v>11</v>
      </c>
      <c r="R167" s="14">
        <v>2</v>
      </c>
      <c r="S167" s="14">
        <v>1</v>
      </c>
      <c r="T167" s="14">
        <v>0</v>
      </c>
      <c r="U167" s="14">
        <v>-5</v>
      </c>
      <c r="V167" s="14">
        <v>0</v>
      </c>
      <c r="W167" s="14" t="b">
        <f>FALSE()</f>
        <v>0</v>
      </c>
    </row>
    <row r="168" spans="1:23" x14ac:dyDescent="0.3">
      <c r="A168" s="14">
        <v>63</v>
      </c>
      <c r="B168" s="14" t="s">
        <v>201</v>
      </c>
      <c r="C168" s="14" t="s">
        <v>34</v>
      </c>
      <c r="D168" s="14" t="s">
        <v>69</v>
      </c>
      <c r="E168" s="14">
        <v>16</v>
      </c>
      <c r="F168" s="14">
        <v>30</v>
      </c>
      <c r="G168" s="14" t="str">
        <f>IFERROR(INDEX(Teams!$B$2:$B$49,MATCH($F168,Teams!$A$2:$A$49,0)),"")</f>
        <v>IR Iran</v>
      </c>
      <c r="H168" s="14">
        <v>19</v>
      </c>
      <c r="I168" s="14" t="str">
        <f>IFERROR(INDEX(Teams!$B$2:$B$49,MATCH($H168,Teams!$A$2:$A$49,0)),"")</f>
        <v>Egypt</v>
      </c>
      <c r="J168" s="14">
        <v>1</v>
      </c>
      <c r="K168" s="14">
        <v>1</v>
      </c>
      <c r="L168" s="14" t="s">
        <v>236</v>
      </c>
      <c r="M168" s="14">
        <v>13</v>
      </c>
      <c r="N168" s="14">
        <v>4</v>
      </c>
      <c r="O168" s="14">
        <v>39</v>
      </c>
      <c r="P168" s="14">
        <v>2</v>
      </c>
      <c r="Q168" s="14">
        <v>16</v>
      </c>
      <c r="R168" s="14">
        <v>4</v>
      </c>
      <c r="S168" s="14">
        <v>0</v>
      </c>
      <c r="T168" s="14">
        <v>3</v>
      </c>
      <c r="U168" s="14">
        <v>0</v>
      </c>
      <c r="V168" s="14">
        <v>1</v>
      </c>
      <c r="W168" s="14" t="b">
        <f>FALSE()</f>
        <v>0</v>
      </c>
    </row>
    <row r="169" spans="1:23" x14ac:dyDescent="0.3">
      <c r="A169" s="14">
        <v>64</v>
      </c>
      <c r="B169" s="14" t="s">
        <v>201</v>
      </c>
      <c r="C169" s="14" t="s">
        <v>34</v>
      </c>
      <c r="D169" s="14" t="s">
        <v>69</v>
      </c>
      <c r="E169" s="14">
        <v>2</v>
      </c>
      <c r="F169" s="14">
        <v>2</v>
      </c>
      <c r="G169" s="14" t="str">
        <f>IFERROR(INDEX(Teams!$B$2:$B$49,MATCH($F169,Teams!$A$2:$A$49,0)),"")</f>
        <v>Belgium</v>
      </c>
      <c r="H169" s="14">
        <v>42</v>
      </c>
      <c r="I169" s="14" t="str">
        <f>IFERROR(INDEX(Teams!$B$2:$B$49,MATCH($H169,Teams!$A$2:$A$49,0)),"")</f>
        <v>New Zealand</v>
      </c>
      <c r="J169" s="14">
        <v>5</v>
      </c>
      <c r="K169" s="14">
        <v>1</v>
      </c>
      <c r="L169" s="14" t="s">
        <v>235</v>
      </c>
      <c r="M169" s="14">
        <v>35</v>
      </c>
      <c r="N169" s="14">
        <v>10</v>
      </c>
      <c r="O169" s="14">
        <v>55</v>
      </c>
      <c r="P169" s="14">
        <v>8</v>
      </c>
      <c r="Q169" s="14">
        <v>7</v>
      </c>
      <c r="R169" s="14">
        <v>0</v>
      </c>
      <c r="S169" s="14">
        <v>0</v>
      </c>
      <c r="T169" s="14">
        <v>1</v>
      </c>
      <c r="U169" s="14">
        <v>4</v>
      </c>
      <c r="V169" s="14">
        <v>3</v>
      </c>
      <c r="W169" s="14" t="b">
        <f>FALSE()</f>
        <v>0</v>
      </c>
    </row>
    <row r="170" spans="1:23" x14ac:dyDescent="0.3">
      <c r="A170" s="14">
        <v>65</v>
      </c>
      <c r="B170" s="14" t="s">
        <v>201</v>
      </c>
      <c r="C170" s="14" t="s">
        <v>34</v>
      </c>
      <c r="D170" s="14" t="s">
        <v>93</v>
      </c>
      <c r="E170" s="14">
        <v>9</v>
      </c>
      <c r="F170" s="14">
        <v>45</v>
      </c>
      <c r="G170" s="14" t="str">
        <f>IFERROR(INDEX(Teams!$B$2:$B$49,MATCH($F170,Teams!$A$2:$A$49,0)),"")</f>
        <v>Saudi Arabia</v>
      </c>
      <c r="H170" s="14">
        <v>15</v>
      </c>
      <c r="I170" s="14" t="str">
        <f>IFERROR(INDEX(Teams!$B$2:$B$49,MATCH($H170,Teams!$A$2:$A$49,0)),"")</f>
        <v>Cabo Verde</v>
      </c>
      <c r="J170" s="14">
        <v>0</v>
      </c>
      <c r="K170" s="14">
        <v>0</v>
      </c>
      <c r="L170" s="14" t="s">
        <v>236</v>
      </c>
      <c r="M170" s="14">
        <v>7</v>
      </c>
      <c r="N170" s="14">
        <v>3</v>
      </c>
      <c r="O170" s="14">
        <v>49</v>
      </c>
      <c r="P170" s="14">
        <v>2</v>
      </c>
      <c r="Q170" s="14">
        <v>16</v>
      </c>
      <c r="R170" s="14">
        <v>3</v>
      </c>
      <c r="S170" s="14">
        <v>0</v>
      </c>
      <c r="T170" s="14">
        <v>0</v>
      </c>
      <c r="U170" s="14">
        <v>0</v>
      </c>
      <c r="V170" s="14">
        <v>1</v>
      </c>
      <c r="W170" s="14" t="b">
        <f>TRUE()</f>
        <v>1</v>
      </c>
    </row>
    <row r="171" spans="1:23" x14ac:dyDescent="0.3">
      <c r="A171" s="14">
        <v>66</v>
      </c>
      <c r="B171" s="14" t="s">
        <v>201</v>
      </c>
      <c r="C171" s="14" t="s">
        <v>34</v>
      </c>
      <c r="D171" s="14" t="s">
        <v>93</v>
      </c>
      <c r="E171" s="14">
        <v>4</v>
      </c>
      <c r="F171" s="14">
        <v>10</v>
      </c>
      <c r="G171" s="14" t="str">
        <f>IFERROR(INDEX(Teams!$B$2:$B$49,MATCH($F171,Teams!$A$2:$A$49,0)),"")</f>
        <v>Spain</v>
      </c>
      <c r="H171" s="14">
        <v>36</v>
      </c>
      <c r="I171" s="14" t="str">
        <f>IFERROR(INDEX(Teams!$B$2:$B$49,MATCH($H171,Teams!$A$2:$A$49,0)),"")</f>
        <v>Uruguay</v>
      </c>
      <c r="J171" s="14">
        <v>1</v>
      </c>
      <c r="K171" s="14">
        <v>0</v>
      </c>
      <c r="L171" s="14" t="s">
        <v>235</v>
      </c>
      <c r="M171" s="14">
        <v>6</v>
      </c>
      <c r="N171" s="14">
        <v>1</v>
      </c>
      <c r="O171" s="14">
        <v>67</v>
      </c>
      <c r="P171" s="14">
        <v>6</v>
      </c>
      <c r="Q171" s="14">
        <v>14</v>
      </c>
      <c r="R171" s="14">
        <v>1</v>
      </c>
      <c r="S171" s="14">
        <v>0</v>
      </c>
      <c r="T171" s="14">
        <v>2</v>
      </c>
      <c r="U171" s="14">
        <v>1</v>
      </c>
      <c r="V171" s="14">
        <v>3</v>
      </c>
      <c r="W171" s="14" t="b">
        <f>TRUE()</f>
        <v>1</v>
      </c>
    </row>
    <row r="172" spans="1:23" x14ac:dyDescent="0.3">
      <c r="A172" s="14">
        <v>67</v>
      </c>
      <c r="B172" s="14" t="s">
        <v>202</v>
      </c>
      <c r="C172" s="14" t="s">
        <v>34</v>
      </c>
      <c r="D172" s="14" t="s">
        <v>78</v>
      </c>
      <c r="E172" s="14">
        <v>13</v>
      </c>
      <c r="F172" s="14">
        <v>5</v>
      </c>
      <c r="G172" s="14" t="str">
        <f>IFERROR(INDEX(Teams!$B$2:$B$49,MATCH($F172,Teams!$A$2:$A$49,0)),"")</f>
        <v>England</v>
      </c>
      <c r="H172" s="14">
        <v>43</v>
      </c>
      <c r="I172" s="14" t="str">
        <f>IFERROR(INDEX(Teams!$B$2:$B$49,MATCH($H172,Teams!$A$2:$A$49,0)),"")</f>
        <v>Panama</v>
      </c>
      <c r="J172" s="14">
        <v>2</v>
      </c>
      <c r="K172" s="14">
        <v>0</v>
      </c>
      <c r="L172" s="14" t="s">
        <v>235</v>
      </c>
      <c r="M172" s="14">
        <v>17</v>
      </c>
      <c r="N172" s="14">
        <v>6</v>
      </c>
      <c r="O172" s="14">
        <v>67</v>
      </c>
      <c r="P172" s="14">
        <v>7</v>
      </c>
      <c r="Q172" s="14">
        <v>13</v>
      </c>
      <c r="R172" s="14">
        <v>1</v>
      </c>
      <c r="S172" s="14">
        <v>0</v>
      </c>
      <c r="T172" s="14">
        <v>4</v>
      </c>
      <c r="U172" s="14">
        <v>2</v>
      </c>
      <c r="V172" s="14">
        <v>3</v>
      </c>
      <c r="W172" s="14" t="b">
        <f>TRUE()</f>
        <v>1</v>
      </c>
    </row>
    <row r="173" spans="1:23" x14ac:dyDescent="0.3">
      <c r="A173" s="14">
        <v>68</v>
      </c>
      <c r="B173" s="14" t="s">
        <v>202</v>
      </c>
      <c r="C173" s="14" t="s">
        <v>34</v>
      </c>
      <c r="D173" s="14" t="s">
        <v>78</v>
      </c>
      <c r="E173" s="14">
        <v>14</v>
      </c>
      <c r="F173" s="14">
        <v>29</v>
      </c>
      <c r="G173" s="14" t="str">
        <f>IFERROR(INDEX(Teams!$B$2:$B$49,MATCH($F173,Teams!$A$2:$A$49,0)),"")</f>
        <v>Ghana</v>
      </c>
      <c r="H173" s="14">
        <v>18</v>
      </c>
      <c r="I173" s="14" t="str">
        <f>IFERROR(INDEX(Teams!$B$2:$B$49,MATCH($H173,Teams!$A$2:$A$49,0)),"")</f>
        <v>Croatia</v>
      </c>
      <c r="J173" s="14">
        <v>1</v>
      </c>
      <c r="K173" s="14">
        <v>2</v>
      </c>
      <c r="L173" s="14" t="s">
        <v>237</v>
      </c>
      <c r="M173" s="14">
        <v>6</v>
      </c>
      <c r="N173" s="14">
        <v>1</v>
      </c>
      <c r="O173" s="14">
        <v>47</v>
      </c>
      <c r="P173" s="14">
        <v>2</v>
      </c>
      <c r="Q173" s="14">
        <v>13</v>
      </c>
      <c r="R173" s="14">
        <v>1</v>
      </c>
      <c r="S173" s="14">
        <v>0</v>
      </c>
      <c r="T173" s="14">
        <v>2</v>
      </c>
      <c r="U173" s="14">
        <v>-1</v>
      </c>
      <c r="V173" s="14">
        <v>0</v>
      </c>
      <c r="W173" s="14" t="b">
        <f>FALSE()</f>
        <v>0</v>
      </c>
    </row>
    <row r="174" spans="1:23" x14ac:dyDescent="0.3">
      <c r="A174" s="14">
        <v>69</v>
      </c>
      <c r="B174" s="14" t="s">
        <v>202</v>
      </c>
      <c r="C174" s="14" t="s">
        <v>34</v>
      </c>
      <c r="D174" s="14" t="s">
        <v>66</v>
      </c>
      <c r="E174" s="14">
        <v>10</v>
      </c>
      <c r="F174" s="14">
        <v>14</v>
      </c>
      <c r="G174" s="14" t="str">
        <f>IFERROR(INDEX(Teams!$B$2:$B$49,MATCH($F174,Teams!$A$2:$A$49,0)),"")</f>
        <v>Austria</v>
      </c>
      <c r="H174" s="14">
        <v>25</v>
      </c>
      <c r="I174" s="14" t="str">
        <f>IFERROR(INDEX(Teams!$B$2:$B$49,MATCH($H174,Teams!$A$2:$A$49,0)),"")</f>
        <v>Algeria</v>
      </c>
      <c r="J174" s="14">
        <v>3</v>
      </c>
      <c r="K174" s="14">
        <v>3</v>
      </c>
      <c r="L174" s="14" t="s">
        <v>236</v>
      </c>
      <c r="M174" s="14">
        <v>10</v>
      </c>
      <c r="N174" s="14">
        <v>3</v>
      </c>
      <c r="O174" s="14">
        <v>35</v>
      </c>
      <c r="P174" s="14">
        <v>3</v>
      </c>
      <c r="Q174" s="14">
        <v>7</v>
      </c>
      <c r="R174" s="14">
        <v>1</v>
      </c>
      <c r="S174" s="14">
        <v>0</v>
      </c>
      <c r="T174" s="14">
        <v>3</v>
      </c>
      <c r="U174" s="14">
        <v>0</v>
      </c>
      <c r="V174" s="14">
        <v>1</v>
      </c>
      <c r="W174" s="14" t="b">
        <f>FALSE()</f>
        <v>0</v>
      </c>
    </row>
    <row r="175" spans="1:23" x14ac:dyDescent="0.3">
      <c r="A175" s="14">
        <v>70</v>
      </c>
      <c r="B175" s="14" t="s">
        <v>202</v>
      </c>
      <c r="C175" s="14" t="s">
        <v>34</v>
      </c>
      <c r="D175" s="14" t="s">
        <v>66</v>
      </c>
      <c r="E175" s="14">
        <v>8</v>
      </c>
      <c r="F175" s="14">
        <v>1</v>
      </c>
      <c r="G175" s="14" t="str">
        <f>IFERROR(INDEX(Teams!$B$2:$B$49,MATCH($F175,Teams!$A$2:$A$49,0)),"")</f>
        <v>Argentina</v>
      </c>
      <c r="H175" s="14">
        <v>41</v>
      </c>
      <c r="I175" s="14" t="str">
        <f>IFERROR(INDEX(Teams!$B$2:$B$49,MATCH($H175,Teams!$A$2:$A$49,0)),"")</f>
        <v>Jordan</v>
      </c>
      <c r="J175" s="14">
        <v>3</v>
      </c>
      <c r="K175" s="14">
        <v>1</v>
      </c>
      <c r="L175" s="14" t="s">
        <v>235</v>
      </c>
      <c r="M175" s="14">
        <v>12</v>
      </c>
      <c r="N175" s="14">
        <v>4</v>
      </c>
      <c r="O175" s="14">
        <v>73</v>
      </c>
      <c r="P175" s="14">
        <v>6</v>
      </c>
      <c r="Q175" s="14">
        <v>7</v>
      </c>
      <c r="R175" s="14">
        <v>0</v>
      </c>
      <c r="S175" s="14">
        <v>0</v>
      </c>
      <c r="T175" s="14">
        <v>3</v>
      </c>
      <c r="U175" s="14">
        <v>2</v>
      </c>
      <c r="V175" s="14">
        <v>3</v>
      </c>
      <c r="W175" s="14" t="b">
        <f>FALSE()</f>
        <v>0</v>
      </c>
    </row>
    <row r="176" spans="1:23" x14ac:dyDescent="0.3">
      <c r="A176" s="14">
        <v>71</v>
      </c>
      <c r="B176" s="14" t="s">
        <v>202</v>
      </c>
      <c r="C176" s="14" t="s">
        <v>34</v>
      </c>
      <c r="D176" s="14" t="s">
        <v>75</v>
      </c>
      <c r="E176" s="14">
        <v>12</v>
      </c>
      <c r="F176" s="14">
        <v>23</v>
      </c>
      <c r="G176" s="14" t="str">
        <f>IFERROR(INDEX(Teams!$B$2:$B$49,MATCH($F176,Teams!$A$2:$A$49,0)),"")</f>
        <v>Portugal</v>
      </c>
      <c r="H176" s="14">
        <v>4</v>
      </c>
      <c r="I176" s="14" t="str">
        <f>IFERROR(INDEX(Teams!$B$2:$B$49,MATCH($H176,Teams!$A$2:$A$49,0)),"")</f>
        <v>Colombia</v>
      </c>
      <c r="J176" s="14">
        <v>0</v>
      </c>
      <c r="K176" s="14">
        <v>0</v>
      </c>
      <c r="L176" s="14" t="s">
        <v>236</v>
      </c>
      <c r="M176" s="14">
        <v>13</v>
      </c>
      <c r="N176" s="14">
        <v>2</v>
      </c>
      <c r="O176" s="14">
        <v>45</v>
      </c>
      <c r="P176" s="14">
        <v>2</v>
      </c>
      <c r="Q176" s="14">
        <v>6</v>
      </c>
      <c r="R176" s="14">
        <v>0</v>
      </c>
      <c r="S176" s="14">
        <v>0</v>
      </c>
      <c r="T176" s="14">
        <v>2</v>
      </c>
      <c r="U176" s="14">
        <v>0</v>
      </c>
      <c r="V176" s="14">
        <v>1</v>
      </c>
      <c r="W176" s="14" t="b">
        <f>TRUE()</f>
        <v>1</v>
      </c>
    </row>
    <row r="177" spans="1:23" x14ac:dyDescent="0.3">
      <c r="A177" s="14">
        <v>72</v>
      </c>
      <c r="B177" s="14" t="s">
        <v>202</v>
      </c>
      <c r="C177" s="14" t="s">
        <v>34</v>
      </c>
      <c r="D177" s="14" t="s">
        <v>75</v>
      </c>
      <c r="E177" s="14">
        <v>6</v>
      </c>
      <c r="F177" s="14">
        <v>48</v>
      </c>
      <c r="G177" s="14" t="str">
        <f>IFERROR(INDEX(Teams!$B$2:$B$49,MATCH($F177,Teams!$A$2:$A$49,0)),"")</f>
        <v>Uzbekistan</v>
      </c>
      <c r="H177" s="14">
        <v>27</v>
      </c>
      <c r="I177" s="14" t="str">
        <f>IFERROR(INDEX(Teams!$B$2:$B$49,MATCH($H177,Teams!$A$2:$A$49,0)),"")</f>
        <v>Congo DR</v>
      </c>
      <c r="J177" s="14">
        <v>1</v>
      </c>
      <c r="K177" s="14">
        <v>3</v>
      </c>
      <c r="L177" s="14" t="s">
        <v>237</v>
      </c>
      <c r="M177" s="14">
        <v>3</v>
      </c>
      <c r="N177" s="14">
        <v>1</v>
      </c>
      <c r="O177" s="14">
        <v>42</v>
      </c>
      <c r="P177" s="14">
        <v>4</v>
      </c>
      <c r="Q177" s="14">
        <v>16</v>
      </c>
      <c r="R177" s="14">
        <v>2</v>
      </c>
      <c r="S177" s="14">
        <v>0</v>
      </c>
      <c r="T177" s="14">
        <v>1</v>
      </c>
      <c r="U177" s="14">
        <v>-2</v>
      </c>
      <c r="V177" s="14">
        <v>0</v>
      </c>
      <c r="W177" s="14" t="b">
        <f>FALSE()</f>
        <v>0</v>
      </c>
    </row>
    <row r="178" spans="1:23" x14ac:dyDescent="0.3">
      <c r="A178" s="14">
        <v>73</v>
      </c>
      <c r="B178" s="14" t="s">
        <v>203</v>
      </c>
      <c r="C178" s="14" t="s">
        <v>35</v>
      </c>
      <c r="D178" s="14"/>
      <c r="E178" s="14">
        <v>11</v>
      </c>
      <c r="F178" s="14">
        <v>16</v>
      </c>
      <c r="G178" s="14" t="str">
        <f>IFERROR(INDEX(Teams!$B$2:$B$49,MATCH($F178,Teams!$A$2:$A$49,0)),"")</f>
        <v>Canada</v>
      </c>
      <c r="H178" s="14">
        <v>24</v>
      </c>
      <c r="I178" s="14" t="str">
        <f>IFERROR(INDEX(Teams!$B$2:$B$49,MATCH($H178,Teams!$A$2:$A$49,0)),"")</f>
        <v>South Africa</v>
      </c>
      <c r="J178" s="14">
        <v>1</v>
      </c>
      <c r="K178" s="14">
        <v>0</v>
      </c>
      <c r="L178" s="14" t="s">
        <v>235</v>
      </c>
      <c r="M178" s="14">
        <v>12</v>
      </c>
      <c r="N178" s="14">
        <v>7</v>
      </c>
      <c r="O178" s="14">
        <v>42</v>
      </c>
      <c r="P178" s="14">
        <v>4</v>
      </c>
      <c r="Q178" s="14">
        <v>16</v>
      </c>
      <c r="R178" s="14">
        <v>2</v>
      </c>
      <c r="S178" s="14">
        <v>0</v>
      </c>
      <c r="T178" s="14">
        <v>0</v>
      </c>
      <c r="U178" s="14">
        <v>1</v>
      </c>
      <c r="V178" s="14">
        <v>3</v>
      </c>
      <c r="W178" s="14" t="b">
        <f>TRUE()</f>
        <v>1</v>
      </c>
    </row>
    <row r="179" spans="1:23" x14ac:dyDescent="0.3">
      <c r="A179" s="14">
        <v>74</v>
      </c>
      <c r="B179" s="14" t="s">
        <v>204</v>
      </c>
      <c r="C179" s="14" t="s">
        <v>35</v>
      </c>
      <c r="D179" s="14"/>
      <c r="E179" s="14">
        <v>7</v>
      </c>
      <c r="F179" s="14">
        <v>32</v>
      </c>
      <c r="G179" s="14" t="str">
        <f>IFERROR(INDEX(Teams!$B$2:$B$49,MATCH($F179,Teams!$A$2:$A$49,0)),"")</f>
        <v>Paraguay</v>
      </c>
      <c r="H179" s="14">
        <v>7</v>
      </c>
      <c r="I179" s="14" t="str">
        <f>IFERROR(INDEX(Teams!$B$2:$B$49,MATCH($H179,Teams!$A$2:$A$49,0)),"")</f>
        <v>Germany</v>
      </c>
      <c r="J179" s="14">
        <v>1</v>
      </c>
      <c r="K179" s="14">
        <v>1</v>
      </c>
      <c r="L179" s="14" t="s">
        <v>236</v>
      </c>
      <c r="M179" s="14">
        <v>7</v>
      </c>
      <c r="N179" s="14">
        <v>3</v>
      </c>
      <c r="O179" s="14">
        <v>24</v>
      </c>
      <c r="P179" s="14">
        <v>6</v>
      </c>
      <c r="Q179" s="14">
        <v>12</v>
      </c>
      <c r="R179" s="14">
        <v>2</v>
      </c>
      <c r="S179" s="14">
        <v>0</v>
      </c>
      <c r="T179" s="14">
        <v>1</v>
      </c>
      <c r="U179" s="14">
        <v>0</v>
      </c>
      <c r="V179" s="14">
        <v>1</v>
      </c>
      <c r="W179" s="14" t="b">
        <f>FALSE()</f>
        <v>0</v>
      </c>
    </row>
    <row r="180" spans="1:23" x14ac:dyDescent="0.3">
      <c r="A180" s="14">
        <v>75</v>
      </c>
      <c r="B180" s="14" t="s">
        <v>204</v>
      </c>
      <c r="C180" s="14" t="s">
        <v>35</v>
      </c>
      <c r="D180" s="14"/>
      <c r="E180" s="14">
        <v>5</v>
      </c>
      <c r="F180" s="14">
        <v>21</v>
      </c>
      <c r="G180" s="14" t="str">
        <f>IFERROR(INDEX(Teams!$B$2:$B$49,MATCH($F180,Teams!$A$2:$A$49,0)),"")</f>
        <v>Morocco</v>
      </c>
      <c r="H180" s="14">
        <v>9</v>
      </c>
      <c r="I180" s="14" t="str">
        <f>IFERROR(INDEX(Teams!$B$2:$B$49,MATCH($H180,Teams!$A$2:$A$49,0)),"")</f>
        <v>Netherlands</v>
      </c>
      <c r="J180" s="14">
        <v>1</v>
      </c>
      <c r="K180" s="14">
        <v>1</v>
      </c>
      <c r="L180" s="14" t="s">
        <v>236</v>
      </c>
      <c r="M180" s="14">
        <v>11</v>
      </c>
      <c r="N180" s="14">
        <v>5</v>
      </c>
      <c r="O180" s="14">
        <v>70</v>
      </c>
      <c r="P180" s="14">
        <v>8</v>
      </c>
      <c r="Q180" s="14">
        <v>15</v>
      </c>
      <c r="R180" s="14">
        <v>1</v>
      </c>
      <c r="S180" s="14">
        <v>0</v>
      </c>
      <c r="T180" s="14">
        <v>0</v>
      </c>
      <c r="U180" s="14">
        <v>0</v>
      </c>
      <c r="V180" s="14">
        <v>1</v>
      </c>
      <c r="W180" s="14" t="b">
        <f>FALSE()</f>
        <v>0</v>
      </c>
    </row>
    <row r="181" spans="1:23" x14ac:dyDescent="0.3">
      <c r="A181" s="14">
        <v>76</v>
      </c>
      <c r="B181" s="14" t="s">
        <v>204</v>
      </c>
      <c r="C181" s="14" t="s">
        <v>35</v>
      </c>
      <c r="D181" s="14"/>
      <c r="E181" s="14">
        <v>9</v>
      </c>
      <c r="F181" s="14">
        <v>20</v>
      </c>
      <c r="G181" s="14" t="str">
        <f>IFERROR(INDEX(Teams!$B$2:$B$49,MATCH($F181,Teams!$A$2:$A$49,0)),"")</f>
        <v>Japan</v>
      </c>
      <c r="H181" s="14">
        <v>3</v>
      </c>
      <c r="I181" s="14" t="str">
        <f>IFERROR(INDEX(Teams!$B$2:$B$49,MATCH($H181,Teams!$A$2:$A$49,0)),"")</f>
        <v>Brazil</v>
      </c>
      <c r="J181" s="14">
        <v>1</v>
      </c>
      <c r="K181" s="14">
        <v>2</v>
      </c>
      <c r="L181" s="14" t="s">
        <v>237</v>
      </c>
      <c r="M181" s="14">
        <v>5</v>
      </c>
      <c r="N181" s="14">
        <v>2</v>
      </c>
      <c r="O181" s="14">
        <v>31</v>
      </c>
      <c r="P181" s="14">
        <v>2</v>
      </c>
      <c r="Q181" s="14">
        <v>13</v>
      </c>
      <c r="R181" s="14">
        <v>3</v>
      </c>
      <c r="S181" s="14">
        <v>0</v>
      </c>
      <c r="T181" s="14">
        <v>0</v>
      </c>
      <c r="U181" s="14">
        <v>-1</v>
      </c>
      <c r="V181" s="14">
        <v>0</v>
      </c>
      <c r="W181" s="14" t="b">
        <f>FALSE()</f>
        <v>0</v>
      </c>
    </row>
    <row r="182" spans="1:23" x14ac:dyDescent="0.3">
      <c r="A182" s="14">
        <v>77</v>
      </c>
      <c r="B182" s="14" t="s">
        <v>205</v>
      </c>
      <c r="C182" s="14" t="s">
        <v>35</v>
      </c>
      <c r="D182" s="14"/>
      <c r="E182" s="14">
        <v>13</v>
      </c>
      <c r="F182" s="14">
        <v>35</v>
      </c>
      <c r="G182" s="14" t="str">
        <f>IFERROR(INDEX(Teams!$B$2:$B$49,MATCH($F182,Teams!$A$2:$A$49,0)),"")</f>
        <v>Sweden</v>
      </c>
      <c r="H182" s="14">
        <v>6</v>
      </c>
      <c r="I182" s="14" t="str">
        <f>IFERROR(INDEX(Teams!$B$2:$B$49,MATCH($H182,Teams!$A$2:$A$49,0)),"")</f>
        <v>France</v>
      </c>
      <c r="J182" s="14">
        <v>0</v>
      </c>
      <c r="K182" s="14">
        <v>3</v>
      </c>
      <c r="L182" s="14" t="s">
        <v>237</v>
      </c>
      <c r="M182" s="14">
        <v>8</v>
      </c>
      <c r="N182" s="14">
        <v>3</v>
      </c>
      <c r="O182" s="14">
        <v>39</v>
      </c>
      <c r="P182" s="14">
        <v>1</v>
      </c>
      <c r="Q182" s="14">
        <v>10</v>
      </c>
      <c r="R182" s="14">
        <v>0</v>
      </c>
      <c r="S182" s="14">
        <v>0</v>
      </c>
      <c r="T182" s="14">
        <v>1</v>
      </c>
      <c r="U182" s="14">
        <v>-3</v>
      </c>
      <c r="V182" s="14">
        <v>0</v>
      </c>
      <c r="W182" s="14" t="b">
        <f>FALSE()</f>
        <v>0</v>
      </c>
    </row>
    <row r="183" spans="1:23" x14ac:dyDescent="0.3">
      <c r="A183" s="14">
        <v>78</v>
      </c>
      <c r="B183" s="14" t="s">
        <v>205</v>
      </c>
      <c r="C183" s="14" t="s">
        <v>35</v>
      </c>
      <c r="D183" s="14"/>
      <c r="E183" s="14">
        <v>8</v>
      </c>
      <c r="F183" s="14">
        <v>22</v>
      </c>
      <c r="G183" s="14" t="str">
        <f>IFERROR(INDEX(Teams!$B$2:$B$49,MATCH($F183,Teams!$A$2:$A$49,0)),"")</f>
        <v>Norway</v>
      </c>
      <c r="H183" s="14">
        <v>17</v>
      </c>
      <c r="I183" s="14" t="str">
        <f>IFERROR(INDEX(Teams!$B$2:$B$49,MATCH($H183,Teams!$A$2:$A$49,0)),"")</f>
        <v>Côte d'Ivoire</v>
      </c>
      <c r="J183" s="14">
        <v>2</v>
      </c>
      <c r="K183" s="14">
        <v>1</v>
      </c>
      <c r="L183" s="14" t="s">
        <v>235</v>
      </c>
      <c r="M183" s="14">
        <v>9</v>
      </c>
      <c r="N183" s="14">
        <v>4</v>
      </c>
      <c r="O183" s="14">
        <v>53</v>
      </c>
      <c r="P183" s="14">
        <v>3</v>
      </c>
      <c r="Q183" s="14">
        <v>7</v>
      </c>
      <c r="R183" s="14">
        <v>1</v>
      </c>
      <c r="S183" s="14">
        <v>0</v>
      </c>
      <c r="T183" s="14">
        <v>2</v>
      </c>
      <c r="U183" s="14">
        <v>1</v>
      </c>
      <c r="V183" s="14">
        <v>3</v>
      </c>
      <c r="W183" s="14" t="b">
        <f>FALSE()</f>
        <v>0</v>
      </c>
    </row>
    <row r="184" spans="1:23" x14ac:dyDescent="0.3">
      <c r="A184" s="14">
        <v>79</v>
      </c>
      <c r="B184" s="14" t="s">
        <v>205</v>
      </c>
      <c r="C184" s="14" t="s">
        <v>35</v>
      </c>
      <c r="D184" s="14"/>
      <c r="E184" s="14">
        <v>3</v>
      </c>
      <c r="F184" s="14">
        <v>28</v>
      </c>
      <c r="G184" s="14" t="str">
        <f>IFERROR(INDEX(Teams!$B$2:$B$49,MATCH($F184,Teams!$A$2:$A$49,0)),"")</f>
        <v>Ecuador</v>
      </c>
      <c r="H184" s="14">
        <v>8</v>
      </c>
      <c r="I184" s="14" t="str">
        <f>IFERROR(INDEX(Teams!$B$2:$B$49,MATCH($H184,Teams!$A$2:$A$49,0)),"")</f>
        <v>Mexico</v>
      </c>
      <c r="J184" s="14">
        <v>0</v>
      </c>
      <c r="K184" s="14">
        <v>2</v>
      </c>
      <c r="L184" s="14" t="s">
        <v>237</v>
      </c>
      <c r="M184" s="14">
        <v>7</v>
      </c>
      <c r="N184" s="14">
        <v>1</v>
      </c>
      <c r="O184" s="14">
        <v>57</v>
      </c>
      <c r="P184" s="14">
        <v>8</v>
      </c>
      <c r="Q184" s="14">
        <v>14</v>
      </c>
      <c r="R184" s="14">
        <v>3</v>
      </c>
      <c r="S184" s="14">
        <v>1</v>
      </c>
      <c r="T184" s="14">
        <v>1</v>
      </c>
      <c r="U184" s="14">
        <v>-2</v>
      </c>
      <c r="V184" s="14">
        <v>0</v>
      </c>
      <c r="W184" s="14" t="b">
        <f>FALSE()</f>
        <v>0</v>
      </c>
    </row>
    <row r="185" spans="1:23" x14ac:dyDescent="0.3">
      <c r="A185" s="14">
        <v>80</v>
      </c>
      <c r="B185" s="14" t="s">
        <v>206</v>
      </c>
      <c r="C185" s="14" t="s">
        <v>35</v>
      </c>
      <c r="D185" s="14"/>
      <c r="E185" s="14">
        <v>6</v>
      </c>
      <c r="F185" s="14">
        <v>27</v>
      </c>
      <c r="G185" s="14" t="str">
        <f>IFERROR(INDEX(Teams!$B$2:$B$49,MATCH($F185,Teams!$A$2:$A$49,0)),"")</f>
        <v>Congo DR</v>
      </c>
      <c r="H185" s="14">
        <v>5</v>
      </c>
      <c r="I185" s="14" t="str">
        <f>IFERROR(INDEX(Teams!$B$2:$B$49,MATCH($H185,Teams!$A$2:$A$49,0)),"")</f>
        <v>England</v>
      </c>
      <c r="J185" s="14">
        <v>1</v>
      </c>
      <c r="K185" s="14">
        <v>2</v>
      </c>
      <c r="L185" s="14" t="s">
        <v>237</v>
      </c>
      <c r="M185" s="14">
        <v>7</v>
      </c>
      <c r="N185" s="14">
        <v>2</v>
      </c>
      <c r="O185" s="14">
        <v>40</v>
      </c>
      <c r="P185" s="14">
        <v>3</v>
      </c>
      <c r="Q185" s="14">
        <v>12</v>
      </c>
      <c r="R185" s="14">
        <v>1</v>
      </c>
      <c r="S185" s="14">
        <v>0</v>
      </c>
      <c r="T185" s="14">
        <v>4</v>
      </c>
      <c r="U185" s="14">
        <v>-1</v>
      </c>
      <c r="V185" s="14">
        <v>0</v>
      </c>
      <c r="W185" s="14" t="b">
        <f>FALSE()</f>
        <v>0</v>
      </c>
    </row>
    <row r="186" spans="1:23" x14ac:dyDescent="0.3">
      <c r="A186" s="14">
        <v>81</v>
      </c>
      <c r="B186" s="14" t="s">
        <v>206</v>
      </c>
      <c r="C186" s="14" t="s">
        <v>35</v>
      </c>
      <c r="D186" s="14"/>
      <c r="E186" s="14">
        <v>15</v>
      </c>
      <c r="F186" s="14">
        <v>26</v>
      </c>
      <c r="G186" s="14" t="str">
        <f>IFERROR(INDEX(Teams!$B$2:$B$49,MATCH($F186,Teams!$A$2:$A$49,0)),"")</f>
        <v>Bosnia and Herzegovina</v>
      </c>
      <c r="H186" s="14">
        <v>12</v>
      </c>
      <c r="I186" s="14" t="str">
        <f>IFERROR(INDEX(Teams!$B$2:$B$49,MATCH($H186,Teams!$A$2:$A$49,0)),"")</f>
        <v>USA</v>
      </c>
      <c r="J186" s="14">
        <v>0</v>
      </c>
      <c r="K186" s="14">
        <v>2</v>
      </c>
      <c r="L186" s="14" t="s">
        <v>237</v>
      </c>
      <c r="M186" s="14">
        <v>10</v>
      </c>
      <c r="N186" s="14">
        <v>3</v>
      </c>
      <c r="O186" s="14">
        <v>52</v>
      </c>
      <c r="P186" s="14">
        <v>3</v>
      </c>
      <c r="Q186" s="14">
        <v>13</v>
      </c>
      <c r="R186" s="14">
        <v>1</v>
      </c>
      <c r="S186" s="14">
        <v>0</v>
      </c>
      <c r="T186" s="14">
        <v>0</v>
      </c>
      <c r="U186" s="14">
        <v>-2</v>
      </c>
      <c r="V186" s="14">
        <v>0</v>
      </c>
      <c r="W186" s="14" t="b">
        <f>FALSE()</f>
        <v>0</v>
      </c>
    </row>
    <row r="187" spans="1:23" x14ac:dyDescent="0.3">
      <c r="A187" s="14">
        <v>82</v>
      </c>
      <c r="B187" s="14" t="s">
        <v>206</v>
      </c>
      <c r="C187" s="14" t="s">
        <v>35</v>
      </c>
      <c r="D187" s="14"/>
      <c r="E187" s="14">
        <v>16</v>
      </c>
      <c r="F187" s="14">
        <v>34</v>
      </c>
      <c r="G187" s="14" t="str">
        <f>IFERROR(INDEX(Teams!$B$2:$B$49,MATCH($F187,Teams!$A$2:$A$49,0)),"")</f>
        <v>Senegal</v>
      </c>
      <c r="H187" s="14">
        <v>2</v>
      </c>
      <c r="I187" s="14" t="str">
        <f>IFERROR(INDEX(Teams!$B$2:$B$49,MATCH($H187,Teams!$A$2:$A$49,0)),"")</f>
        <v>Belgium</v>
      </c>
      <c r="J187" s="14">
        <v>2</v>
      </c>
      <c r="K187" s="14">
        <v>3</v>
      </c>
      <c r="L187" s="14" t="s">
        <v>237</v>
      </c>
      <c r="M187" s="14">
        <v>19</v>
      </c>
      <c r="N187" s="14">
        <v>5</v>
      </c>
      <c r="O187" s="14">
        <v>48</v>
      </c>
      <c r="P187" s="14">
        <v>2</v>
      </c>
      <c r="Q187" s="14">
        <v>12</v>
      </c>
      <c r="R187" s="14">
        <v>1</v>
      </c>
      <c r="S187" s="14">
        <v>0</v>
      </c>
      <c r="T187" s="14">
        <v>2</v>
      </c>
      <c r="U187" s="14">
        <v>-1</v>
      </c>
      <c r="V187" s="14">
        <v>0</v>
      </c>
      <c r="W187" s="14" t="b">
        <f>FALSE()</f>
        <v>0</v>
      </c>
    </row>
    <row r="188" spans="1:23" x14ac:dyDescent="0.3">
      <c r="A188" s="14">
        <v>83</v>
      </c>
      <c r="B188" s="14" t="s">
        <v>207</v>
      </c>
      <c r="C188" s="14" t="s">
        <v>35</v>
      </c>
      <c r="D188" s="14"/>
      <c r="E188" s="14">
        <v>1</v>
      </c>
      <c r="F188" s="14">
        <v>18</v>
      </c>
      <c r="G188" s="14" t="str">
        <f>IFERROR(INDEX(Teams!$B$2:$B$49,MATCH($F188,Teams!$A$2:$A$49,0)),"")</f>
        <v>Croatia</v>
      </c>
      <c r="H188" s="14">
        <v>23</v>
      </c>
      <c r="I188" s="14" t="str">
        <f>IFERROR(INDEX(Teams!$B$2:$B$49,MATCH($H188,Teams!$A$2:$A$49,0)),"")</f>
        <v>Portugal</v>
      </c>
      <c r="J188" s="14">
        <v>1</v>
      </c>
      <c r="K188" s="14">
        <v>2</v>
      </c>
      <c r="L188" s="14" t="s">
        <v>237</v>
      </c>
      <c r="M188" s="14">
        <v>13</v>
      </c>
      <c r="N188" s="14">
        <v>6</v>
      </c>
      <c r="O188" s="14">
        <v>40</v>
      </c>
      <c r="P188" s="14">
        <v>5</v>
      </c>
      <c r="Q188" s="14">
        <v>12</v>
      </c>
      <c r="R188" s="14">
        <v>2</v>
      </c>
      <c r="S188" s="14">
        <v>0</v>
      </c>
      <c r="T188" s="14">
        <v>4</v>
      </c>
      <c r="U188" s="14">
        <v>-1</v>
      </c>
      <c r="V188" s="14">
        <v>0</v>
      </c>
      <c r="W188" s="14" t="b">
        <f>FALSE()</f>
        <v>0</v>
      </c>
    </row>
    <row r="189" spans="1:23" x14ac:dyDescent="0.3">
      <c r="A189" s="14">
        <v>84</v>
      </c>
      <c r="B189" s="14" t="s">
        <v>207</v>
      </c>
      <c r="C189" s="14" t="s">
        <v>35</v>
      </c>
      <c r="D189" s="14"/>
      <c r="E189" s="14">
        <v>11</v>
      </c>
      <c r="F189" s="14">
        <v>14</v>
      </c>
      <c r="G189" s="14" t="str">
        <f>IFERROR(INDEX(Teams!$B$2:$B$49,MATCH($F189,Teams!$A$2:$A$49,0)),"")</f>
        <v>Austria</v>
      </c>
      <c r="H189" s="14">
        <v>10</v>
      </c>
      <c r="I189" s="14" t="str">
        <f>IFERROR(INDEX(Teams!$B$2:$B$49,MATCH($H189,Teams!$A$2:$A$49,0)),"")</f>
        <v>Spain</v>
      </c>
      <c r="J189" s="14">
        <v>0</v>
      </c>
      <c r="K189" s="14">
        <v>3</v>
      </c>
      <c r="L189" s="14" t="s">
        <v>237</v>
      </c>
      <c r="M189" s="14">
        <v>5</v>
      </c>
      <c r="N189" s="14">
        <v>0</v>
      </c>
      <c r="O189" s="14">
        <v>36</v>
      </c>
      <c r="P189" s="14">
        <v>0</v>
      </c>
      <c r="Q189" s="14">
        <v>15</v>
      </c>
      <c r="R189" s="14">
        <v>1</v>
      </c>
      <c r="S189" s="14">
        <v>0</v>
      </c>
      <c r="T189" s="14">
        <v>5</v>
      </c>
      <c r="U189" s="14">
        <v>-3</v>
      </c>
      <c r="V189" s="14">
        <v>0</v>
      </c>
      <c r="W189" s="14" t="b">
        <f>FALSE()</f>
        <v>0</v>
      </c>
    </row>
    <row r="190" spans="1:23" x14ac:dyDescent="0.3">
      <c r="A190" s="14">
        <v>85</v>
      </c>
      <c r="B190" s="14" t="s">
        <v>207</v>
      </c>
      <c r="C190" s="14" t="s">
        <v>35</v>
      </c>
      <c r="D190" s="14"/>
      <c r="E190" s="14">
        <v>2</v>
      </c>
      <c r="F190" s="14">
        <v>25</v>
      </c>
      <c r="G190" s="14" t="str">
        <f>IFERROR(INDEX(Teams!$B$2:$B$49,MATCH($F190,Teams!$A$2:$A$49,0)),"")</f>
        <v>Algeria</v>
      </c>
      <c r="H190" s="14">
        <v>11</v>
      </c>
      <c r="I190" s="14" t="str">
        <f>IFERROR(INDEX(Teams!$B$2:$B$49,MATCH($H190,Teams!$A$2:$A$49,0)),"")</f>
        <v>Switzerland</v>
      </c>
      <c r="J190" s="14">
        <v>0</v>
      </c>
      <c r="K190" s="14">
        <v>2</v>
      </c>
      <c r="L190" s="14" t="s">
        <v>237</v>
      </c>
      <c r="M190" s="14">
        <v>8</v>
      </c>
      <c r="N190" s="14">
        <v>2</v>
      </c>
      <c r="O190" s="14">
        <v>56</v>
      </c>
      <c r="P190" s="14">
        <v>2</v>
      </c>
      <c r="Q190" s="14">
        <v>12</v>
      </c>
      <c r="R190" s="14">
        <v>2</v>
      </c>
      <c r="S190" s="14">
        <v>0</v>
      </c>
      <c r="T190" s="14">
        <v>2</v>
      </c>
      <c r="U190" s="14">
        <v>-2</v>
      </c>
      <c r="V190" s="14">
        <v>0</v>
      </c>
      <c r="W190" s="14" t="b">
        <f>FALSE()</f>
        <v>0</v>
      </c>
    </row>
    <row r="191" spans="1:23" x14ac:dyDescent="0.3">
      <c r="A191" s="14">
        <v>86</v>
      </c>
      <c r="B191" s="14" t="s">
        <v>208</v>
      </c>
      <c r="C191" s="14" t="s">
        <v>35</v>
      </c>
      <c r="D191" s="14"/>
      <c r="E191" s="14">
        <v>12</v>
      </c>
      <c r="F191" s="14">
        <v>15</v>
      </c>
      <c r="G191" s="14" t="str">
        <f>IFERROR(INDEX(Teams!$B$2:$B$49,MATCH($F191,Teams!$A$2:$A$49,0)),"")</f>
        <v>Cabo Verde</v>
      </c>
      <c r="H191" s="14">
        <v>1</v>
      </c>
      <c r="I191" s="14" t="str">
        <f>IFERROR(INDEX(Teams!$B$2:$B$49,MATCH($H191,Teams!$A$2:$A$49,0)),"")</f>
        <v>Argentina</v>
      </c>
      <c r="J191" s="14">
        <v>2</v>
      </c>
      <c r="K191" s="14">
        <v>3</v>
      </c>
      <c r="L191" s="14" t="s">
        <v>237</v>
      </c>
      <c r="M191" s="14">
        <v>16</v>
      </c>
      <c r="N191" s="14">
        <v>5</v>
      </c>
      <c r="O191" s="14">
        <v>36</v>
      </c>
      <c r="P191" s="14">
        <v>8</v>
      </c>
      <c r="Q191" s="14">
        <v>12</v>
      </c>
      <c r="R191" s="14">
        <v>1</v>
      </c>
      <c r="S191" s="14">
        <v>0</v>
      </c>
      <c r="T191" s="14">
        <v>2</v>
      </c>
      <c r="U191" s="14">
        <v>-1</v>
      </c>
      <c r="V191" s="14">
        <v>0</v>
      </c>
      <c r="W191" s="14" t="b">
        <f>FALSE()</f>
        <v>0</v>
      </c>
    </row>
    <row r="192" spans="1:23" x14ac:dyDescent="0.3">
      <c r="A192" s="14">
        <v>87</v>
      </c>
      <c r="B192" s="14" t="s">
        <v>208</v>
      </c>
      <c r="C192" s="14" t="s">
        <v>35</v>
      </c>
      <c r="D192" s="14"/>
      <c r="E192" s="14">
        <v>10</v>
      </c>
      <c r="F192" s="14">
        <v>29</v>
      </c>
      <c r="G192" s="14" t="str">
        <f>IFERROR(INDEX(Teams!$B$2:$B$49,MATCH($F192,Teams!$A$2:$A$49,0)),"")</f>
        <v>Ghana</v>
      </c>
      <c r="H192" s="14">
        <v>4</v>
      </c>
      <c r="I192" s="14" t="str">
        <f>IFERROR(INDEX(Teams!$B$2:$B$49,MATCH($H192,Teams!$A$2:$A$49,0)),"")</f>
        <v>Colombia</v>
      </c>
      <c r="J192" s="14">
        <v>0</v>
      </c>
      <c r="K192" s="14">
        <v>1</v>
      </c>
      <c r="L192" s="14" t="s">
        <v>237</v>
      </c>
      <c r="M192" s="14">
        <v>8</v>
      </c>
      <c r="N192" s="14">
        <v>0</v>
      </c>
      <c r="O192" s="14">
        <v>39</v>
      </c>
      <c r="P192" s="14">
        <v>2</v>
      </c>
      <c r="Q192" s="14">
        <v>10</v>
      </c>
      <c r="R192" s="14">
        <v>3</v>
      </c>
      <c r="S192" s="14">
        <v>0</v>
      </c>
      <c r="T192" s="14">
        <v>0</v>
      </c>
      <c r="U192" s="14">
        <v>-1</v>
      </c>
      <c r="V192" s="14">
        <v>0</v>
      </c>
      <c r="W192" s="14" t="b">
        <f>FALSE()</f>
        <v>0</v>
      </c>
    </row>
    <row r="193" spans="1:23" x14ac:dyDescent="0.3">
      <c r="A193" s="14">
        <v>88</v>
      </c>
      <c r="B193" s="14" t="s">
        <v>208</v>
      </c>
      <c r="C193" s="14" t="s">
        <v>35</v>
      </c>
      <c r="D193" s="14"/>
      <c r="E193" s="14">
        <v>8</v>
      </c>
      <c r="F193" s="14">
        <v>19</v>
      </c>
      <c r="G193" s="14" t="str">
        <f>IFERROR(INDEX(Teams!$B$2:$B$49,MATCH($F193,Teams!$A$2:$A$49,0)),"")</f>
        <v>Egypt</v>
      </c>
      <c r="H193" s="14">
        <v>13</v>
      </c>
      <c r="I193" s="14" t="str">
        <f>IFERROR(INDEX(Teams!$B$2:$B$49,MATCH($H193,Teams!$A$2:$A$49,0)),"")</f>
        <v>Australia</v>
      </c>
      <c r="J193" s="14">
        <v>1</v>
      </c>
      <c r="K193" s="14">
        <v>1</v>
      </c>
      <c r="L193" s="14" t="s">
        <v>236</v>
      </c>
      <c r="M193" s="14">
        <v>14</v>
      </c>
      <c r="N193" s="14">
        <v>3</v>
      </c>
      <c r="O193" s="14">
        <v>58</v>
      </c>
      <c r="P193" s="14">
        <v>7</v>
      </c>
      <c r="Q193" s="14">
        <v>14</v>
      </c>
      <c r="R193" s="14">
        <v>2</v>
      </c>
      <c r="S193" s="14">
        <v>0</v>
      </c>
      <c r="T193" s="14">
        <v>3</v>
      </c>
      <c r="U193" s="14">
        <v>0</v>
      </c>
      <c r="V193" s="14">
        <v>1</v>
      </c>
      <c r="W193" s="14" t="b">
        <f>FALSE()</f>
        <v>0</v>
      </c>
    </row>
    <row r="194" spans="1:23" x14ac:dyDescent="0.3">
      <c r="A194" s="14">
        <v>89</v>
      </c>
      <c r="B194" s="14" t="s">
        <v>209</v>
      </c>
      <c r="C194" s="14" t="s">
        <v>36</v>
      </c>
      <c r="D194" s="14"/>
      <c r="E194" s="14">
        <v>14</v>
      </c>
      <c r="F194" s="14">
        <v>6</v>
      </c>
      <c r="G194" s="14" t="str">
        <f>IFERROR(INDEX(Teams!$B$2:$B$49,MATCH($F194,Teams!$A$2:$A$49,0)),"")</f>
        <v>France</v>
      </c>
      <c r="H194" s="14">
        <v>32</v>
      </c>
      <c r="I194" s="14" t="str">
        <f>IFERROR(INDEX(Teams!$B$2:$B$49,MATCH($H194,Teams!$A$2:$A$49,0)),"")</f>
        <v>Paraguay</v>
      </c>
      <c r="J194" s="14">
        <v>1</v>
      </c>
      <c r="K194" s="14">
        <v>0</v>
      </c>
      <c r="L194" s="14" t="s">
        <v>235</v>
      </c>
      <c r="M194" s="14">
        <v>15</v>
      </c>
      <c r="N194" s="14">
        <v>5</v>
      </c>
      <c r="O194" s="14">
        <v>76</v>
      </c>
      <c r="P194" s="14">
        <v>12</v>
      </c>
      <c r="Q194" s="14">
        <v>11</v>
      </c>
      <c r="R194" s="14">
        <v>3</v>
      </c>
      <c r="S194" s="14">
        <v>0</v>
      </c>
      <c r="T194" s="14">
        <v>0</v>
      </c>
      <c r="U194" s="14">
        <v>1</v>
      </c>
      <c r="V194" s="14">
        <v>3</v>
      </c>
      <c r="W194" s="14" t="b">
        <f>TRUE()</f>
        <v>1</v>
      </c>
    </row>
    <row r="195" spans="1:23" x14ac:dyDescent="0.3">
      <c r="A195" s="14">
        <v>90</v>
      </c>
      <c r="B195" s="14" t="s">
        <v>209</v>
      </c>
      <c r="C195" s="14" t="s">
        <v>36</v>
      </c>
      <c r="D195" s="14"/>
      <c r="E195" s="14">
        <v>9</v>
      </c>
      <c r="F195" s="14">
        <v>21</v>
      </c>
      <c r="G195" s="14" t="str">
        <f>IFERROR(INDEX(Teams!$B$2:$B$49,MATCH($F195,Teams!$A$2:$A$49,0)),"")</f>
        <v>Morocco</v>
      </c>
      <c r="H195" s="14">
        <v>16</v>
      </c>
      <c r="I195" s="14" t="str">
        <f>IFERROR(INDEX(Teams!$B$2:$B$49,MATCH($H195,Teams!$A$2:$A$49,0)),"")</f>
        <v>Canada</v>
      </c>
      <c r="J195" s="14">
        <v>3</v>
      </c>
      <c r="K195" s="14">
        <v>0</v>
      </c>
      <c r="L195" s="14" t="s">
        <v>235</v>
      </c>
      <c r="M195" s="14">
        <v>5</v>
      </c>
      <c r="N195" s="14">
        <v>4</v>
      </c>
      <c r="O195" s="14">
        <v>55</v>
      </c>
      <c r="P195" s="14">
        <v>1</v>
      </c>
      <c r="Q195" s="14">
        <v>14</v>
      </c>
      <c r="R195" s="14">
        <v>4</v>
      </c>
      <c r="S195" s="14">
        <v>0</v>
      </c>
      <c r="T195" s="14">
        <v>3</v>
      </c>
      <c r="U195" s="14">
        <v>3</v>
      </c>
      <c r="V195" s="14">
        <v>3</v>
      </c>
      <c r="W195" s="14" t="b">
        <f>TRUE()</f>
        <v>1</v>
      </c>
    </row>
    <row r="196" spans="1:23" x14ac:dyDescent="0.3">
      <c r="A196" s="14">
        <v>91</v>
      </c>
      <c r="B196" s="14" t="s">
        <v>210</v>
      </c>
      <c r="C196" s="14" t="s">
        <v>36</v>
      </c>
      <c r="D196" s="14"/>
      <c r="E196" s="14">
        <v>13</v>
      </c>
      <c r="F196" s="14">
        <v>22</v>
      </c>
      <c r="G196" s="14" t="str">
        <f>IFERROR(INDEX(Teams!$B$2:$B$49,MATCH($F196,Teams!$A$2:$A$49,0)),"")</f>
        <v>Norway</v>
      </c>
      <c r="H196" s="14">
        <v>3</v>
      </c>
      <c r="I196" s="14" t="str">
        <f>IFERROR(INDEX(Teams!$B$2:$B$49,MATCH($H196,Teams!$A$2:$A$49,0)),"")</f>
        <v>Brazil</v>
      </c>
      <c r="J196" s="14">
        <v>2</v>
      </c>
      <c r="K196" s="14">
        <v>1</v>
      </c>
      <c r="L196" s="14" t="s">
        <v>235</v>
      </c>
      <c r="M196" s="14">
        <v>9</v>
      </c>
      <c r="N196" s="14">
        <v>5</v>
      </c>
      <c r="O196" s="14">
        <v>66</v>
      </c>
      <c r="P196" s="14">
        <v>5</v>
      </c>
      <c r="Q196" s="14">
        <v>6</v>
      </c>
      <c r="R196" s="14">
        <v>0</v>
      </c>
      <c r="S196" s="14">
        <v>0</v>
      </c>
      <c r="T196" s="14">
        <v>1</v>
      </c>
      <c r="U196" s="14">
        <v>1</v>
      </c>
      <c r="V196" s="14">
        <v>3</v>
      </c>
      <c r="W196" s="14" t="b">
        <f>FALSE()</f>
        <v>0</v>
      </c>
    </row>
    <row r="197" spans="1:23" x14ac:dyDescent="0.3">
      <c r="A197" s="14">
        <v>92</v>
      </c>
      <c r="B197" s="14" t="s">
        <v>210</v>
      </c>
      <c r="C197" s="14" t="s">
        <v>36</v>
      </c>
      <c r="D197" s="14"/>
      <c r="E197" s="14">
        <v>3</v>
      </c>
      <c r="F197" s="14">
        <v>5</v>
      </c>
      <c r="G197" s="14" t="str">
        <f>IFERROR(INDEX(Teams!$B$2:$B$49,MATCH($F197,Teams!$A$2:$A$49,0)),"")</f>
        <v>England</v>
      </c>
      <c r="H197" s="14">
        <v>8</v>
      </c>
      <c r="I197" s="14" t="str">
        <f>IFERROR(INDEX(Teams!$B$2:$B$49,MATCH($H197,Teams!$A$2:$A$49,0)),"")</f>
        <v>Mexico</v>
      </c>
      <c r="J197" s="14">
        <v>3</v>
      </c>
      <c r="K197" s="14">
        <v>2</v>
      </c>
      <c r="L197" s="14" t="s">
        <v>235</v>
      </c>
      <c r="M197" s="14">
        <v>6</v>
      </c>
      <c r="N197" s="14">
        <v>5</v>
      </c>
      <c r="O197" s="14">
        <v>33</v>
      </c>
      <c r="P197" s="14">
        <v>2</v>
      </c>
      <c r="Q197" s="14">
        <v>7</v>
      </c>
      <c r="R197" s="14">
        <v>4</v>
      </c>
      <c r="S197" s="14">
        <v>1</v>
      </c>
      <c r="T197" s="14">
        <v>0</v>
      </c>
      <c r="U197" s="14">
        <v>1</v>
      </c>
      <c r="V197" s="14">
        <v>3</v>
      </c>
      <c r="W197" s="14" t="b">
        <f>FALSE()</f>
        <v>0</v>
      </c>
    </row>
    <row r="198" spans="1:23" x14ac:dyDescent="0.3">
      <c r="A198" s="14">
        <v>93</v>
      </c>
      <c r="B198" s="14" t="s">
        <v>211</v>
      </c>
      <c r="C198" s="14" t="s">
        <v>36</v>
      </c>
      <c r="D198" s="14"/>
      <c r="E198" s="14">
        <v>8</v>
      </c>
      <c r="F198" s="14">
        <v>10</v>
      </c>
      <c r="G198" s="14" t="str">
        <f>IFERROR(INDEX(Teams!$B$2:$B$49,MATCH($F198,Teams!$A$2:$A$49,0)),"")</f>
        <v>Spain</v>
      </c>
      <c r="H198" s="14">
        <v>23</v>
      </c>
      <c r="I198" s="14" t="str">
        <f>IFERROR(INDEX(Teams!$B$2:$B$49,MATCH($H198,Teams!$A$2:$A$49,0)),"")</f>
        <v>Portugal</v>
      </c>
      <c r="J198" s="14">
        <v>1</v>
      </c>
      <c r="K198" s="14">
        <v>0</v>
      </c>
      <c r="L198" s="14" t="s">
        <v>235</v>
      </c>
      <c r="M198" s="14">
        <v>15</v>
      </c>
      <c r="N198" s="14">
        <v>6</v>
      </c>
      <c r="O198" s="14">
        <v>55</v>
      </c>
      <c r="P198" s="14">
        <v>7</v>
      </c>
      <c r="Q198" s="14">
        <v>13</v>
      </c>
      <c r="R198" s="14">
        <v>1</v>
      </c>
      <c r="S198" s="14">
        <v>0</v>
      </c>
      <c r="T198" s="14">
        <v>1</v>
      </c>
      <c r="U198" s="14">
        <v>1</v>
      </c>
      <c r="V198" s="14">
        <v>3</v>
      </c>
      <c r="W198" s="14" t="b">
        <f>TRUE()</f>
        <v>1</v>
      </c>
    </row>
    <row r="199" spans="1:23" x14ac:dyDescent="0.3">
      <c r="A199" s="14">
        <v>94</v>
      </c>
      <c r="B199" s="14" t="s">
        <v>211</v>
      </c>
      <c r="C199" s="14" t="s">
        <v>36</v>
      </c>
      <c r="D199" s="14"/>
      <c r="E199" s="14">
        <v>16</v>
      </c>
      <c r="F199" s="14">
        <v>2</v>
      </c>
      <c r="G199" s="14" t="str">
        <f>IFERROR(INDEX(Teams!$B$2:$B$49,MATCH($F199,Teams!$A$2:$A$49,0)),"")</f>
        <v>Belgium</v>
      </c>
      <c r="H199" s="14">
        <v>12</v>
      </c>
      <c r="I199" s="14" t="str">
        <f>IFERROR(INDEX(Teams!$B$2:$B$49,MATCH($H199,Teams!$A$2:$A$49,0)),"")</f>
        <v>USA</v>
      </c>
      <c r="J199" s="14">
        <v>4</v>
      </c>
      <c r="K199" s="14">
        <v>1</v>
      </c>
      <c r="L199" s="14" t="s">
        <v>235</v>
      </c>
      <c r="M199" s="14">
        <v>15</v>
      </c>
      <c r="N199" s="14">
        <v>7</v>
      </c>
      <c r="O199" s="14">
        <v>44</v>
      </c>
      <c r="P199" s="14">
        <v>5</v>
      </c>
      <c r="Q199" s="14">
        <v>9</v>
      </c>
      <c r="R199" s="14">
        <v>0</v>
      </c>
      <c r="S199" s="14">
        <v>0</v>
      </c>
      <c r="T199" s="14">
        <v>1</v>
      </c>
      <c r="U199" s="14">
        <v>3</v>
      </c>
      <c r="V199" s="14">
        <v>3</v>
      </c>
      <c r="W199" s="14" t="b">
        <f>FALSE()</f>
        <v>0</v>
      </c>
    </row>
    <row r="200" spans="1:23" x14ac:dyDescent="0.3">
      <c r="A200" s="14">
        <v>95</v>
      </c>
      <c r="B200" s="14" t="s">
        <v>212</v>
      </c>
      <c r="C200" s="14" t="s">
        <v>36</v>
      </c>
      <c r="D200" s="14"/>
      <c r="E200" s="14">
        <v>6</v>
      </c>
      <c r="F200" s="14">
        <v>19</v>
      </c>
      <c r="G200" s="14" t="str">
        <f>IFERROR(INDEX(Teams!$B$2:$B$49,MATCH($F200,Teams!$A$2:$A$49,0)),"")</f>
        <v>Egypt</v>
      </c>
      <c r="H200" s="14">
        <v>1</v>
      </c>
      <c r="I200" s="14" t="str">
        <f>IFERROR(INDEX(Teams!$B$2:$B$49,MATCH($H200,Teams!$A$2:$A$49,0)),"")</f>
        <v>Argentina</v>
      </c>
      <c r="J200" s="14">
        <v>2</v>
      </c>
      <c r="K200" s="14">
        <v>3</v>
      </c>
      <c r="L200" s="14" t="s">
        <v>237</v>
      </c>
      <c r="M200" s="14">
        <v>5</v>
      </c>
      <c r="N200" s="14">
        <v>2</v>
      </c>
      <c r="O200" s="14">
        <v>36</v>
      </c>
      <c r="P200" s="14">
        <v>1</v>
      </c>
      <c r="Q200" s="14">
        <v>11</v>
      </c>
      <c r="R200" s="14">
        <v>4</v>
      </c>
      <c r="S200" s="14">
        <v>0</v>
      </c>
      <c r="T200" s="14">
        <v>0</v>
      </c>
      <c r="U200" s="14">
        <v>-1</v>
      </c>
      <c r="V200" s="14">
        <v>0</v>
      </c>
      <c r="W200" s="14" t="b">
        <f>FALSE()</f>
        <v>0</v>
      </c>
    </row>
    <row r="201" spans="1:23" x14ac:dyDescent="0.3">
      <c r="A201" s="14">
        <v>96</v>
      </c>
      <c r="B201" s="14" t="s">
        <v>212</v>
      </c>
      <c r="C201" s="14" t="s">
        <v>36</v>
      </c>
      <c r="D201" s="14"/>
      <c r="E201" s="14">
        <v>2</v>
      </c>
      <c r="F201" s="14">
        <v>4</v>
      </c>
      <c r="G201" s="14" t="str">
        <f>IFERROR(INDEX(Teams!$B$2:$B$49,MATCH($F201,Teams!$A$2:$A$49,0)),"")</f>
        <v>Colombia</v>
      </c>
      <c r="H201" s="14">
        <v>11</v>
      </c>
      <c r="I201" s="14" t="str">
        <f>IFERROR(INDEX(Teams!$B$2:$B$49,MATCH($H201,Teams!$A$2:$A$49,0)),"")</f>
        <v>Switzerland</v>
      </c>
      <c r="J201" s="14">
        <v>0</v>
      </c>
      <c r="K201" s="14">
        <v>0</v>
      </c>
      <c r="L201" s="14" t="s">
        <v>236</v>
      </c>
      <c r="M201" s="14">
        <v>15</v>
      </c>
      <c r="N201" s="14">
        <v>3</v>
      </c>
      <c r="O201" s="14">
        <v>47</v>
      </c>
      <c r="P201" s="14">
        <v>7</v>
      </c>
      <c r="Q201" s="14">
        <v>21</v>
      </c>
      <c r="R201" s="14">
        <v>2</v>
      </c>
      <c r="S201" s="14">
        <v>0</v>
      </c>
      <c r="T201" s="14">
        <v>4</v>
      </c>
      <c r="U201" s="14">
        <v>0</v>
      </c>
      <c r="V201" s="14">
        <v>1</v>
      </c>
      <c r="W201" s="14" t="b">
        <f>TRUE()</f>
        <v>1</v>
      </c>
    </row>
    <row r="202" spans="1:23" x14ac:dyDescent="0.3">
      <c r="A202" s="14">
        <v>97</v>
      </c>
      <c r="B202" s="14" t="s">
        <v>213</v>
      </c>
      <c r="C202" s="14" t="s">
        <v>37</v>
      </c>
      <c r="D202" s="14"/>
      <c r="E202" s="14">
        <v>7</v>
      </c>
      <c r="F202" s="14">
        <v>21</v>
      </c>
      <c r="G202" s="14" t="str">
        <f>IFERROR(INDEX(Teams!$B$2:$B$49,MATCH($F202,Teams!$A$2:$A$49,0)),"")</f>
        <v>Morocco</v>
      </c>
      <c r="H202" s="14">
        <v>6</v>
      </c>
      <c r="I202" s="14" t="str">
        <f>IFERROR(INDEX(Teams!$B$2:$B$49,MATCH($H202,Teams!$A$2:$A$49,0)),"")</f>
        <v>France</v>
      </c>
      <c r="J202" s="14">
        <v>0</v>
      </c>
      <c r="K202" s="14">
        <v>2</v>
      </c>
      <c r="L202" s="14" t="s">
        <v>237</v>
      </c>
      <c r="M202" s="14">
        <v>5</v>
      </c>
      <c r="N202" s="14">
        <v>1</v>
      </c>
      <c r="O202" s="14">
        <v>52</v>
      </c>
      <c r="P202" s="14">
        <v>5</v>
      </c>
      <c r="Q202" s="14">
        <v>13</v>
      </c>
      <c r="R202" s="14">
        <v>1</v>
      </c>
      <c r="S202" s="14">
        <v>0</v>
      </c>
      <c r="T202" s="14">
        <v>0</v>
      </c>
      <c r="U202" s="14">
        <v>-2</v>
      </c>
      <c r="V202" s="14">
        <v>0</v>
      </c>
      <c r="W202" s="14" t="b">
        <f>FALSE()</f>
        <v>0</v>
      </c>
    </row>
    <row r="203" spans="1:23" x14ac:dyDescent="0.3">
      <c r="A203" s="14">
        <v>98</v>
      </c>
      <c r="B203" s="14" t="s">
        <v>214</v>
      </c>
      <c r="C203" s="14" t="s">
        <v>37</v>
      </c>
      <c r="D203" s="14"/>
      <c r="E203" s="14">
        <v>11</v>
      </c>
      <c r="F203" s="14">
        <v>2</v>
      </c>
      <c r="G203" s="14" t="str">
        <f>IFERROR(INDEX(Teams!$B$2:$B$49,MATCH($F203,Teams!$A$2:$A$49,0)),"")</f>
        <v>Belgium</v>
      </c>
      <c r="H203" s="14">
        <v>10</v>
      </c>
      <c r="I203" s="14" t="str">
        <f>IFERROR(INDEX(Teams!$B$2:$B$49,MATCH($H203,Teams!$A$2:$A$49,0)),"")</f>
        <v>Spain</v>
      </c>
      <c r="J203" s="14">
        <v>1</v>
      </c>
      <c r="K203" s="14">
        <v>2</v>
      </c>
      <c r="L203" s="14" t="s">
        <v>237</v>
      </c>
      <c r="M203" s="14">
        <v>5</v>
      </c>
      <c r="N203" s="14">
        <v>2</v>
      </c>
      <c r="O203" s="14">
        <v>32</v>
      </c>
      <c r="P203" s="14">
        <v>1</v>
      </c>
      <c r="Q203" s="14">
        <v>18</v>
      </c>
      <c r="R203" s="14">
        <v>2</v>
      </c>
      <c r="S203" s="14">
        <v>0</v>
      </c>
      <c r="T203" s="14">
        <v>1</v>
      </c>
      <c r="U203" s="14">
        <v>-1</v>
      </c>
      <c r="V203" s="14">
        <v>0</v>
      </c>
      <c r="W203" s="14" t="b">
        <f>FALSE()</f>
        <v>0</v>
      </c>
    </row>
    <row r="204" spans="1:23" x14ac:dyDescent="0.3">
      <c r="A204" s="14">
        <v>99</v>
      </c>
      <c r="B204" s="14" t="s">
        <v>215</v>
      </c>
      <c r="C204" s="14" t="s">
        <v>37</v>
      </c>
      <c r="D204" s="14"/>
      <c r="E204" s="14">
        <v>12</v>
      </c>
      <c r="F204" s="14">
        <v>5</v>
      </c>
      <c r="G204" s="14" t="str">
        <f>IFERROR(INDEX(Teams!$B$2:$B$49,MATCH($F204,Teams!$A$2:$A$49,0)),"")</f>
        <v>England</v>
      </c>
      <c r="H204" s="14">
        <v>22</v>
      </c>
      <c r="I204" s="14" t="str">
        <f>IFERROR(INDEX(Teams!$B$2:$B$49,MATCH($H204,Teams!$A$2:$A$49,0)),"")</f>
        <v>Norway</v>
      </c>
      <c r="J204" s="14">
        <v>2</v>
      </c>
      <c r="K204" s="14">
        <v>1</v>
      </c>
      <c r="L204" s="14" t="s">
        <v>235</v>
      </c>
      <c r="M204" s="14">
        <v>14</v>
      </c>
      <c r="N204" s="14">
        <v>8</v>
      </c>
      <c r="O204" s="14">
        <v>52</v>
      </c>
      <c r="P204" s="14">
        <v>4</v>
      </c>
      <c r="Q204" s="14">
        <v>8</v>
      </c>
      <c r="R204" s="14">
        <v>0</v>
      </c>
      <c r="S204" s="14">
        <v>0</v>
      </c>
      <c r="T204" s="14">
        <v>5</v>
      </c>
      <c r="U204" s="14">
        <v>1</v>
      </c>
      <c r="V204" s="14">
        <v>3</v>
      </c>
      <c r="W204" s="14" t="b">
        <f>FALSE()</f>
        <v>0</v>
      </c>
    </row>
    <row r="205" spans="1:23" x14ac:dyDescent="0.3">
      <c r="A205" s="14">
        <v>100</v>
      </c>
      <c r="B205" s="14" t="s">
        <v>215</v>
      </c>
      <c r="C205" s="14" t="s">
        <v>37</v>
      </c>
      <c r="D205" s="14"/>
      <c r="E205" s="14">
        <v>10</v>
      </c>
      <c r="F205" s="14">
        <v>11</v>
      </c>
      <c r="G205" s="14" t="str">
        <f>IFERROR(INDEX(Teams!$B$2:$B$49,MATCH($F205,Teams!$A$2:$A$49,0)),"")</f>
        <v>Switzerland</v>
      </c>
      <c r="H205" s="14">
        <v>1</v>
      </c>
      <c r="I205" s="14" t="str">
        <f>IFERROR(INDEX(Teams!$B$2:$B$49,MATCH($H205,Teams!$A$2:$A$49,0)),"")</f>
        <v>Argentina</v>
      </c>
      <c r="J205" s="14">
        <v>1</v>
      </c>
      <c r="K205" s="14">
        <v>3</v>
      </c>
      <c r="L205" s="14" t="s">
        <v>237</v>
      </c>
      <c r="M205" s="14">
        <v>11</v>
      </c>
      <c r="N205" s="14">
        <v>5</v>
      </c>
      <c r="O205" s="14">
        <v>41</v>
      </c>
      <c r="P205" s="14">
        <v>2</v>
      </c>
      <c r="Q205" s="14">
        <v>18</v>
      </c>
      <c r="R205" s="14">
        <v>1</v>
      </c>
      <c r="S205" s="14">
        <v>1</v>
      </c>
      <c r="T205" s="14">
        <v>3</v>
      </c>
      <c r="U205" s="14">
        <v>-2</v>
      </c>
      <c r="V205" s="14">
        <v>0</v>
      </c>
      <c r="W205" s="14" t="b">
        <f>FALSE()</f>
        <v>0</v>
      </c>
    </row>
    <row r="206" spans="1:23" x14ac:dyDescent="0.3">
      <c r="A206" s="14">
        <v>101</v>
      </c>
      <c r="B206" s="14" t="s">
        <v>216</v>
      </c>
      <c r="C206" s="14" t="s">
        <v>38</v>
      </c>
      <c r="D206" s="14"/>
      <c r="E206" s="14">
        <v>8</v>
      </c>
      <c r="F206" s="14">
        <v>10</v>
      </c>
      <c r="G206" s="14" t="str">
        <f>IFERROR(INDEX(Teams!$B$2:$B$49,MATCH($F206,Teams!$A$2:$A$49,0)),"")</f>
        <v>Spain</v>
      </c>
      <c r="H206" s="14">
        <v>6</v>
      </c>
      <c r="I206" s="14" t="str">
        <f>IFERROR(INDEX(Teams!$B$2:$B$49,MATCH($H206,Teams!$A$2:$A$49,0)),"")</f>
        <v>France</v>
      </c>
      <c r="J206" s="14">
        <v>2</v>
      </c>
      <c r="K206" s="14">
        <v>0</v>
      </c>
      <c r="L206" s="14" t="s">
        <v>235</v>
      </c>
      <c r="M206" s="14">
        <v>10</v>
      </c>
      <c r="N206" s="14">
        <v>2</v>
      </c>
      <c r="O206" s="14">
        <v>51</v>
      </c>
      <c r="P206" s="14">
        <v>1</v>
      </c>
      <c r="Q206" s="14">
        <v>12</v>
      </c>
      <c r="R206" s="14">
        <v>1</v>
      </c>
      <c r="S206" s="14">
        <v>0</v>
      </c>
      <c r="T206" s="14">
        <v>5</v>
      </c>
      <c r="U206" s="14">
        <v>2</v>
      </c>
      <c r="V206" s="14">
        <v>3</v>
      </c>
      <c r="W206" s="14" t="b">
        <f>TRUE()</f>
        <v>1</v>
      </c>
    </row>
    <row r="207" spans="1:23" x14ac:dyDescent="0.3">
      <c r="A207" s="14">
        <v>102</v>
      </c>
      <c r="B207" s="14" t="s">
        <v>217</v>
      </c>
      <c r="C207" s="14" t="s">
        <v>38</v>
      </c>
      <c r="D207" s="14"/>
      <c r="E207" s="14">
        <v>6</v>
      </c>
      <c r="F207" s="14">
        <v>1</v>
      </c>
      <c r="G207" s="14" t="str">
        <f>IFERROR(INDEX(Teams!$B$2:$B$49,MATCH($F207,Teams!$A$2:$A$49,0)),"")</f>
        <v>Argentina</v>
      </c>
      <c r="H207" s="14">
        <v>5</v>
      </c>
      <c r="I207" s="14" t="str">
        <f>IFERROR(INDEX(Teams!$B$2:$B$49,MATCH($H207,Teams!$A$2:$A$49,0)),"")</f>
        <v>England</v>
      </c>
      <c r="J207" s="14">
        <v>2</v>
      </c>
      <c r="K207" s="14">
        <v>1</v>
      </c>
      <c r="L207" s="14" t="s">
        <v>235</v>
      </c>
      <c r="M207" s="14">
        <v>15</v>
      </c>
      <c r="N207" s="14">
        <v>5</v>
      </c>
      <c r="O207" s="14">
        <v>64</v>
      </c>
      <c r="P207" s="14">
        <v>6</v>
      </c>
      <c r="Q207" s="14">
        <v>15</v>
      </c>
      <c r="R207" s="14">
        <v>3</v>
      </c>
      <c r="S207" s="14">
        <v>0</v>
      </c>
      <c r="T207" s="14">
        <v>3</v>
      </c>
      <c r="U207" s="14">
        <v>1</v>
      </c>
      <c r="V207" s="14">
        <v>3</v>
      </c>
      <c r="W207" s="14" t="b">
        <f>FALSE()</f>
        <v>0</v>
      </c>
    </row>
    <row r="208" spans="1:23" x14ac:dyDescent="0.3">
      <c r="A208" s="14">
        <v>103</v>
      </c>
      <c r="B208" s="14" t="s">
        <v>218</v>
      </c>
      <c r="C208" s="14" t="s">
        <v>39</v>
      </c>
      <c r="D208" s="14"/>
      <c r="E208" s="14">
        <v>12</v>
      </c>
      <c r="F208" s="14">
        <v>5</v>
      </c>
      <c r="G208" s="14" t="str">
        <f>IFERROR(INDEX(Teams!$B$2:$B$49,MATCH($F208,Teams!$A$2:$A$49,0)),"")</f>
        <v>England</v>
      </c>
      <c r="H208" s="14">
        <v>6</v>
      </c>
      <c r="I208" s="14" t="str">
        <f>IFERROR(INDEX(Teams!$B$2:$B$49,MATCH($H208,Teams!$A$2:$A$49,0)),"")</f>
        <v>France</v>
      </c>
      <c r="J208" s="14">
        <v>6</v>
      </c>
      <c r="K208" s="14">
        <v>4</v>
      </c>
      <c r="L208" s="14" t="s">
        <v>235</v>
      </c>
      <c r="M208" s="14">
        <v>19</v>
      </c>
      <c r="N208" s="14">
        <v>11</v>
      </c>
      <c r="O208" s="14">
        <v>54</v>
      </c>
      <c r="P208" s="14">
        <v>4</v>
      </c>
      <c r="Q208" s="14">
        <v>8</v>
      </c>
      <c r="R208" s="14">
        <v>0</v>
      </c>
      <c r="S208" s="14">
        <v>0</v>
      </c>
      <c r="T208" s="14">
        <v>3</v>
      </c>
      <c r="U208" s="14">
        <v>2</v>
      </c>
      <c r="V208" s="14">
        <v>3</v>
      </c>
      <c r="W208" s="14" t="b">
        <f>FALSE()</f>
        <v>0</v>
      </c>
    </row>
    <row r="209" spans="1:23" x14ac:dyDescent="0.3">
      <c r="A209" s="14">
        <v>104</v>
      </c>
      <c r="B209" s="14" t="s">
        <v>219</v>
      </c>
      <c r="C209" s="14" t="s">
        <v>40</v>
      </c>
      <c r="D209" s="14"/>
      <c r="E209" s="14">
        <v>13</v>
      </c>
      <c r="F209" s="14">
        <v>1</v>
      </c>
      <c r="G209" s="14" t="str">
        <f>IFERROR(INDEX(Teams!$B$2:$B$49,MATCH($F209,Teams!$A$2:$A$49,0)),"")</f>
        <v>Argentina</v>
      </c>
      <c r="H209" s="14">
        <v>10</v>
      </c>
      <c r="I209" s="14" t="str">
        <f>IFERROR(INDEX(Teams!$B$2:$B$49,MATCH($H209,Teams!$A$2:$A$49,0)),"")</f>
        <v>Spain</v>
      </c>
      <c r="J209" s="14">
        <v>0</v>
      </c>
      <c r="K209" s="14">
        <v>1</v>
      </c>
      <c r="L209" s="14" t="s">
        <v>237</v>
      </c>
      <c r="M209" s="14">
        <v>2</v>
      </c>
      <c r="N209" s="14">
        <v>0</v>
      </c>
      <c r="O209" s="14">
        <v>35</v>
      </c>
      <c r="P209" s="14">
        <v>4</v>
      </c>
      <c r="Q209" s="14">
        <v>25</v>
      </c>
      <c r="R209" s="14">
        <v>4</v>
      </c>
      <c r="S209" s="14">
        <v>1</v>
      </c>
      <c r="T209" s="14">
        <v>1</v>
      </c>
      <c r="U209" s="14">
        <v>-1</v>
      </c>
      <c r="V209" s="14">
        <v>0</v>
      </c>
      <c r="W209" s="14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9" customWidth="1"/>
    <col min="3" max="3" width="10" customWidth="1"/>
    <col min="4" max="4" width="22" customWidth="1"/>
    <col min="5" max="5" width="8" customWidth="1"/>
    <col min="6" max="6" width="18" customWidth="1"/>
    <col min="7" max="7" width="9" customWidth="1"/>
    <col min="8" max="8" width="11" customWidth="1"/>
    <col min="9" max="9" width="13" customWidth="1"/>
  </cols>
  <sheetData>
    <row r="1" spans="1:9" x14ac:dyDescent="0.3">
      <c r="A1" s="13" t="s">
        <v>238</v>
      </c>
      <c r="B1" s="13" t="s">
        <v>172</v>
      </c>
      <c r="C1" s="13" t="s">
        <v>44</v>
      </c>
      <c r="D1" s="13" t="s">
        <v>239</v>
      </c>
      <c r="E1" s="13" t="s">
        <v>14</v>
      </c>
      <c r="F1" s="13" t="s">
        <v>60</v>
      </c>
      <c r="G1" s="13" t="s">
        <v>240</v>
      </c>
      <c r="H1" s="13" t="s">
        <v>241</v>
      </c>
      <c r="I1" s="13" t="s">
        <v>27</v>
      </c>
    </row>
    <row r="2" spans="1:9" x14ac:dyDescent="0.3">
      <c r="A2" s="14">
        <v>1</v>
      </c>
      <c r="B2" s="14">
        <v>1</v>
      </c>
      <c r="C2" s="14">
        <v>718</v>
      </c>
      <c r="D2" s="14" t="str">
        <f>IFERROR(INDEX(Players!$B$2:$B$1249,MATCH($C2,Players!$A$2:$A$1249,0)),"")</f>
        <v>Julian Quinones</v>
      </c>
      <c r="E2" s="14">
        <v>8</v>
      </c>
      <c r="F2" s="14" t="str">
        <f>IFERROR(INDEX(Teams!$B$2:$B$49,MATCH($E2,Teams!$A$2:$A$49,0)),"")</f>
        <v>Mexico</v>
      </c>
      <c r="G2" s="14" t="s">
        <v>242</v>
      </c>
      <c r="H2" s="14"/>
      <c r="I2" s="14" t="str">
        <f>IFERROR(INDEX(Matches!$C$2:$C$105,MATCH($B2,Matches!$A$2:$A$105,0)),"")</f>
        <v>First Stage</v>
      </c>
    </row>
    <row r="3" spans="1:9" x14ac:dyDescent="0.3">
      <c r="A3" s="14">
        <v>2</v>
      </c>
      <c r="B3" s="14">
        <v>1</v>
      </c>
      <c r="C3" s="14">
        <v>711</v>
      </c>
      <c r="D3" s="14" t="str">
        <f>IFERROR(INDEX(Players!$B$2:$B$1249,MATCH($C3,Players!$A$2:$A$1249,0)),"")</f>
        <v>Raul Jimenez</v>
      </c>
      <c r="E3" s="14">
        <v>8</v>
      </c>
      <c r="F3" s="14" t="str">
        <f>IFERROR(INDEX(Teams!$B$2:$B$49,MATCH($E3,Teams!$A$2:$A$49,0)),"")</f>
        <v>Mexico</v>
      </c>
      <c r="G3" s="14" t="s">
        <v>243</v>
      </c>
      <c r="H3" s="14"/>
      <c r="I3" s="14" t="str">
        <f>IFERROR(INDEX(Matches!$C$2:$C$105,MATCH($B3,Matches!$A$2:$A$105,0)),"")</f>
        <v>First Stage</v>
      </c>
    </row>
    <row r="4" spans="1:9" x14ac:dyDescent="0.3">
      <c r="A4" s="14">
        <v>3</v>
      </c>
      <c r="B4" s="14">
        <v>2</v>
      </c>
      <c r="C4" s="14">
        <v>682</v>
      </c>
      <c r="D4" s="14" t="str">
        <f>IFERROR(INDEX(Players!$B$2:$B$1249,MATCH($C4,Players!$A$2:$A$1249,0)),"")</f>
        <v>Inbeom Hwang</v>
      </c>
      <c r="E4" s="14">
        <v>31</v>
      </c>
      <c r="F4" s="14" t="str">
        <f>IFERROR(INDEX(Teams!$B$2:$B$49,MATCH($E4,Teams!$A$2:$A$49,0)),"")</f>
        <v>Korea Republic</v>
      </c>
      <c r="G4" s="14" t="s">
        <v>243</v>
      </c>
      <c r="H4" s="14"/>
      <c r="I4" s="14" t="str">
        <f>IFERROR(INDEX(Matches!$C$2:$C$105,MATCH($B4,Matches!$A$2:$A$105,0)),"")</f>
        <v>First Stage</v>
      </c>
    </row>
    <row r="5" spans="1:9" x14ac:dyDescent="0.3">
      <c r="A5" s="14">
        <v>4</v>
      </c>
      <c r="B5" s="14">
        <v>2</v>
      </c>
      <c r="C5" s="14">
        <v>694</v>
      </c>
      <c r="D5" s="14" t="str">
        <f>IFERROR(INDEX(Players!$B$2:$B$1249,MATCH($C5,Players!$A$2:$A$1249,0)),"")</f>
        <v>Hyeongyu Oh</v>
      </c>
      <c r="E5" s="14">
        <v>31</v>
      </c>
      <c r="F5" s="14" t="str">
        <f>IFERROR(INDEX(Teams!$B$2:$B$49,MATCH($E5,Teams!$A$2:$A$49,0)),"")</f>
        <v>Korea Republic</v>
      </c>
      <c r="G5" s="14" t="s">
        <v>244</v>
      </c>
      <c r="H5" s="14"/>
      <c r="I5" s="14" t="str">
        <f>IFERROR(INDEX(Matches!$C$2:$C$105,MATCH($B5,Matches!$A$2:$A$105,0)),"")</f>
        <v>First Stage</v>
      </c>
    </row>
    <row r="6" spans="1:9" x14ac:dyDescent="0.3">
      <c r="A6" s="14">
        <v>5</v>
      </c>
      <c r="B6" s="14">
        <v>2</v>
      </c>
      <c r="C6" s="14">
        <v>371</v>
      </c>
      <c r="D6" s="14" t="str">
        <f>IFERROR(INDEX(Players!$B$2:$B$1249,MATCH($C6,Players!$A$2:$A$1249,0)),"")</f>
        <v>Ladislav Krejci</v>
      </c>
      <c r="E6" s="14">
        <v>38</v>
      </c>
      <c r="F6" s="14" t="str">
        <f>IFERROR(INDEX(Teams!$B$2:$B$49,MATCH($E6,Teams!$A$2:$A$49,0)),"")</f>
        <v>Czechia</v>
      </c>
      <c r="G6" s="14" t="s">
        <v>245</v>
      </c>
      <c r="H6" s="14"/>
      <c r="I6" s="14" t="str">
        <f>IFERROR(INDEX(Matches!$C$2:$C$105,MATCH($B6,Matches!$A$2:$A$105,0)),"")</f>
        <v>First Stage</v>
      </c>
    </row>
    <row r="7" spans="1:9" x14ac:dyDescent="0.3">
      <c r="A7" s="14">
        <v>6</v>
      </c>
      <c r="B7" s="14">
        <v>25</v>
      </c>
      <c r="C7" s="14">
        <v>382</v>
      </c>
      <c r="D7" s="14" t="str">
        <f>IFERROR(INDEX(Players!$B$2:$B$1249,MATCH($C7,Players!$A$2:$A$1249,0)),"")</f>
        <v>Michal Sadilek</v>
      </c>
      <c r="E7" s="14">
        <v>38</v>
      </c>
      <c r="F7" s="14" t="str">
        <f>IFERROR(INDEX(Teams!$B$2:$B$49,MATCH($E7,Teams!$A$2:$A$49,0)),"")</f>
        <v>Czechia</v>
      </c>
      <c r="G7" s="14" t="s">
        <v>246</v>
      </c>
      <c r="H7" s="14"/>
      <c r="I7" s="14" t="str">
        <f>IFERROR(INDEX(Matches!$C$2:$C$105,MATCH($B7,Matches!$A$2:$A$105,0)),"")</f>
        <v>First Stage</v>
      </c>
    </row>
    <row r="8" spans="1:9" x14ac:dyDescent="0.3">
      <c r="A8" s="14">
        <v>7</v>
      </c>
      <c r="B8" s="14">
        <v>25</v>
      </c>
      <c r="C8" s="14">
        <v>1018</v>
      </c>
      <c r="D8" s="14" t="str">
        <f>IFERROR(INDEX(Players!$B$2:$B$1249,MATCH($C8,Players!$A$2:$A$1249,0)),"")</f>
        <v>Teboho Mokoena</v>
      </c>
      <c r="E8" s="14">
        <v>24</v>
      </c>
      <c r="F8" s="14" t="str">
        <f>IFERROR(INDEX(Teams!$B$2:$B$49,MATCH($E8,Teams!$A$2:$A$49,0)),"")</f>
        <v>South Africa</v>
      </c>
      <c r="G8" s="14" t="s">
        <v>247</v>
      </c>
      <c r="H8" s="14" t="s">
        <v>248</v>
      </c>
      <c r="I8" s="14" t="str">
        <f>IFERROR(INDEX(Matches!$C$2:$C$105,MATCH($B8,Matches!$A$2:$A$105,0)),"")</f>
        <v>First Stage</v>
      </c>
    </row>
    <row r="9" spans="1:9" x14ac:dyDescent="0.3">
      <c r="A9" s="14">
        <v>8</v>
      </c>
      <c r="B9" s="14">
        <v>28</v>
      </c>
      <c r="C9" s="14">
        <v>709</v>
      </c>
      <c r="D9" s="14" t="str">
        <f>IFERROR(INDEX(Players!$B$2:$B$1249,MATCH($C9,Players!$A$2:$A$1249,0)),"")</f>
        <v>Luis Romo</v>
      </c>
      <c r="E9" s="14">
        <v>8</v>
      </c>
      <c r="F9" s="14" t="str">
        <f>IFERROR(INDEX(Teams!$B$2:$B$49,MATCH($E9,Teams!$A$2:$A$49,0)),"")</f>
        <v>Mexico</v>
      </c>
      <c r="G9" s="14" t="s">
        <v>249</v>
      </c>
      <c r="H9" s="14"/>
      <c r="I9" s="14" t="str">
        <f>IFERROR(INDEX(Matches!$C$2:$C$105,MATCH($B9,Matches!$A$2:$A$105,0)),"")</f>
        <v>First Stage</v>
      </c>
    </row>
    <row r="10" spans="1:9" x14ac:dyDescent="0.3">
      <c r="A10" s="14">
        <v>9</v>
      </c>
      <c r="B10" s="14">
        <v>53</v>
      </c>
      <c r="C10" s="14">
        <v>722</v>
      </c>
      <c r="D10" s="14" t="str">
        <f>IFERROR(INDEX(Players!$B$2:$B$1249,MATCH($C10,Players!$A$2:$A$1249,0)),"")</f>
        <v>Mateo Chavez</v>
      </c>
      <c r="E10" s="14">
        <v>8</v>
      </c>
      <c r="F10" s="14" t="str">
        <f>IFERROR(INDEX(Teams!$B$2:$B$49,MATCH($E10,Teams!$A$2:$A$49,0)),"")</f>
        <v>Mexico</v>
      </c>
      <c r="G10" s="14" t="s">
        <v>250</v>
      </c>
      <c r="H10" s="14"/>
      <c r="I10" s="14" t="str">
        <f>IFERROR(INDEX(Matches!$C$2:$C$105,MATCH($B10,Matches!$A$2:$A$105,0)),"")</f>
        <v>First Stage</v>
      </c>
    </row>
    <row r="11" spans="1:9" x14ac:dyDescent="0.3">
      <c r="A11" s="14">
        <v>10</v>
      </c>
      <c r="B11" s="14">
        <v>53</v>
      </c>
      <c r="C11" s="14">
        <v>718</v>
      </c>
      <c r="D11" s="14" t="str">
        <f>IFERROR(INDEX(Players!$B$2:$B$1249,MATCH($C11,Players!$A$2:$A$1249,0)),"")</f>
        <v>Julian Quinones</v>
      </c>
      <c r="E11" s="14">
        <v>8</v>
      </c>
      <c r="F11" s="14" t="str">
        <f>IFERROR(INDEX(Teams!$B$2:$B$49,MATCH($E11,Teams!$A$2:$A$49,0)),"")</f>
        <v>Mexico</v>
      </c>
      <c r="G11" s="14" t="s">
        <v>251</v>
      </c>
      <c r="H11" s="14"/>
      <c r="I11" s="14" t="str">
        <f>IFERROR(INDEX(Matches!$C$2:$C$105,MATCH($B11,Matches!$A$2:$A$105,0)),"")</f>
        <v>First Stage</v>
      </c>
    </row>
    <row r="12" spans="1:9" x14ac:dyDescent="0.3">
      <c r="A12" s="14">
        <v>11</v>
      </c>
      <c r="B12" s="14">
        <v>53</v>
      </c>
      <c r="C12" s="14">
        <v>710</v>
      </c>
      <c r="D12" s="14" t="str">
        <f>IFERROR(INDEX(Players!$B$2:$B$1249,MATCH($C12,Players!$A$2:$A$1249,0)),"")</f>
        <v>Alvaro Fidalgo</v>
      </c>
      <c r="E12" s="14">
        <v>8</v>
      </c>
      <c r="F12" s="14" t="str">
        <f>IFERROR(INDEX(Teams!$B$2:$B$49,MATCH($E12,Teams!$A$2:$A$49,0)),"")</f>
        <v>Mexico</v>
      </c>
      <c r="G12" s="14" t="s">
        <v>252</v>
      </c>
      <c r="H12" s="14"/>
      <c r="I12" s="14" t="str">
        <f>IFERROR(INDEX(Matches!$C$2:$C$105,MATCH($B12,Matches!$A$2:$A$105,0)),"")</f>
        <v>First Stage</v>
      </c>
    </row>
    <row r="13" spans="1:9" x14ac:dyDescent="0.3">
      <c r="A13" s="14">
        <v>12</v>
      </c>
      <c r="B13" s="14">
        <v>54</v>
      </c>
      <c r="C13" s="14">
        <v>1026</v>
      </c>
      <c r="D13" s="14" t="str">
        <f>IFERROR(INDEX(Players!$B$2:$B$1249,MATCH($C13,Players!$A$2:$A$1249,0)),"")</f>
        <v>Thapelo Maseko</v>
      </c>
      <c r="E13" s="14">
        <v>24</v>
      </c>
      <c r="F13" s="14" t="str">
        <f>IFERROR(INDEX(Teams!$B$2:$B$49,MATCH($E13,Teams!$A$2:$A$49,0)),"")</f>
        <v>South Africa</v>
      </c>
      <c r="G13" s="14" t="s">
        <v>253</v>
      </c>
      <c r="H13" s="14"/>
      <c r="I13" s="14" t="str">
        <f>IFERROR(INDEX(Matches!$C$2:$C$105,MATCH($B13,Matches!$A$2:$A$105,0)),"")</f>
        <v>First Stage</v>
      </c>
    </row>
    <row r="14" spans="1:9" x14ac:dyDescent="0.3">
      <c r="A14" s="14">
        <v>13</v>
      </c>
      <c r="B14" s="14">
        <v>3</v>
      </c>
      <c r="C14" s="14">
        <v>217</v>
      </c>
      <c r="D14" s="14" t="str">
        <f>IFERROR(INDEX(Players!$B$2:$B$1249,MATCH($C14,Players!$A$2:$A$1249,0)),"")</f>
        <v>Cyle Larin</v>
      </c>
      <c r="E14" s="14">
        <v>16</v>
      </c>
      <c r="F14" s="14" t="str">
        <f>IFERROR(INDEX(Teams!$B$2:$B$49,MATCH($E14,Teams!$A$2:$A$49,0)),"")</f>
        <v>Canada</v>
      </c>
      <c r="G14" s="14" t="s">
        <v>254</v>
      </c>
      <c r="H14" s="14"/>
      <c r="I14" s="14" t="str">
        <f>IFERROR(INDEX(Matches!$C$2:$C$105,MATCH($B14,Matches!$A$2:$A$105,0)),"")</f>
        <v>First Stage</v>
      </c>
    </row>
    <row r="15" spans="1:9" x14ac:dyDescent="0.3">
      <c r="A15" s="14">
        <v>14</v>
      </c>
      <c r="B15" s="14">
        <v>3</v>
      </c>
      <c r="C15" s="14">
        <v>155</v>
      </c>
      <c r="D15" s="14" t="str">
        <f>IFERROR(INDEX(Players!$B$2:$B$1249,MATCH($C15,Players!$A$2:$A$1249,0)),"")</f>
        <v>Jovo Lukic</v>
      </c>
      <c r="E15" s="14">
        <v>26</v>
      </c>
      <c r="F15" s="14" t="str">
        <f>IFERROR(INDEX(Teams!$B$2:$B$49,MATCH($E15,Teams!$A$2:$A$49,0)),"")</f>
        <v>Bosnia and Herzegovina</v>
      </c>
      <c r="G15" s="14" t="s">
        <v>255</v>
      </c>
      <c r="H15" s="14"/>
      <c r="I15" s="14" t="str">
        <f>IFERROR(INDEX(Matches!$C$2:$C$105,MATCH($B15,Matches!$A$2:$A$105,0)),"")</f>
        <v>First Stage</v>
      </c>
    </row>
    <row r="16" spans="1:9" x14ac:dyDescent="0.3">
      <c r="A16" s="14">
        <v>15</v>
      </c>
      <c r="B16" s="14">
        <v>8</v>
      </c>
      <c r="C16" s="14">
        <v>1094</v>
      </c>
      <c r="D16" s="14" t="str">
        <f>IFERROR(INDEX(Players!$B$2:$B$1249,MATCH($C16,Players!$A$2:$A$1249,0)),"")</f>
        <v>Miro Muheim</v>
      </c>
      <c r="E16" s="14">
        <v>44</v>
      </c>
      <c r="F16" s="14" t="str">
        <f>IFERROR(INDEX(Teams!$B$2:$B$49,MATCH($E16,Teams!$A$2:$A$49,0)),"")</f>
        <v>Qatar</v>
      </c>
      <c r="G16" s="14" t="s">
        <v>252</v>
      </c>
      <c r="H16" s="14" t="s">
        <v>256</v>
      </c>
      <c r="I16" s="14" t="str">
        <f>IFERROR(INDEX(Matches!$C$2:$C$105,MATCH($B16,Matches!$A$2:$A$105,0)),"")</f>
        <v>First Stage</v>
      </c>
    </row>
    <row r="17" spans="1:9" x14ac:dyDescent="0.3">
      <c r="A17" s="14">
        <v>16</v>
      </c>
      <c r="B17" s="14">
        <v>8</v>
      </c>
      <c r="C17" s="14">
        <v>1099</v>
      </c>
      <c r="D17" s="14" t="str">
        <f>IFERROR(INDEX(Players!$B$2:$B$1249,MATCH($C17,Players!$A$2:$A$1249,0)),"")</f>
        <v>Breel Embolo</v>
      </c>
      <c r="E17" s="14">
        <v>11</v>
      </c>
      <c r="F17" s="14" t="str">
        <f>IFERROR(INDEX(Teams!$B$2:$B$49,MATCH($E17,Teams!$A$2:$A$49,0)),"")</f>
        <v>Switzerland</v>
      </c>
      <c r="G17" s="14" t="s">
        <v>257</v>
      </c>
      <c r="H17" s="14" t="s">
        <v>248</v>
      </c>
      <c r="I17" s="14" t="str">
        <f>IFERROR(INDEX(Matches!$C$2:$C$105,MATCH($B17,Matches!$A$2:$A$105,0)),"")</f>
        <v>First Stage</v>
      </c>
    </row>
    <row r="18" spans="1:9" x14ac:dyDescent="0.3">
      <c r="A18" s="14">
        <v>17</v>
      </c>
      <c r="B18" s="14">
        <v>26</v>
      </c>
      <c r="C18" s="14">
        <v>1101</v>
      </c>
      <c r="D18" s="14" t="str">
        <f>IFERROR(INDEX(Players!$B$2:$B$1249,MATCH($C18,Players!$A$2:$A$1249,0)),"")</f>
        <v>Johan Manzambi</v>
      </c>
      <c r="E18" s="14">
        <v>11</v>
      </c>
      <c r="F18" s="14" t="str">
        <f>IFERROR(INDEX(Teams!$B$2:$B$49,MATCH($E18,Teams!$A$2:$A$49,0)),"")</f>
        <v>Switzerland</v>
      </c>
      <c r="G18" s="14" t="s">
        <v>258</v>
      </c>
      <c r="H18" s="14"/>
      <c r="I18" s="14" t="str">
        <f>IFERROR(INDEX(Matches!$C$2:$C$105,MATCH($B18,Matches!$A$2:$A$105,0)),"")</f>
        <v>First Stage</v>
      </c>
    </row>
    <row r="19" spans="1:9" x14ac:dyDescent="0.3">
      <c r="A19" s="14">
        <v>18</v>
      </c>
      <c r="B19" s="14">
        <v>26</v>
      </c>
      <c r="C19" s="14">
        <v>1109</v>
      </c>
      <c r="D19" s="14" t="str">
        <f>IFERROR(INDEX(Players!$B$2:$B$1249,MATCH($C19,Players!$A$2:$A$1249,0)),"")</f>
        <v>Ruben Vargas</v>
      </c>
      <c r="E19" s="14">
        <v>11</v>
      </c>
      <c r="F19" s="14" t="str">
        <f>IFERROR(INDEX(Teams!$B$2:$B$49,MATCH($E19,Teams!$A$2:$A$49,0)),"")</f>
        <v>Switzerland</v>
      </c>
      <c r="G19" s="14" t="s">
        <v>259</v>
      </c>
      <c r="H19" s="14"/>
      <c r="I19" s="14" t="str">
        <f>IFERROR(INDEX(Matches!$C$2:$C$105,MATCH($B19,Matches!$A$2:$A$105,0)),"")</f>
        <v>First Stage</v>
      </c>
    </row>
    <row r="20" spans="1:9" x14ac:dyDescent="0.3">
      <c r="A20" s="14">
        <v>19</v>
      </c>
      <c r="B20" s="14">
        <v>26</v>
      </c>
      <c r="C20" s="14">
        <v>1101</v>
      </c>
      <c r="D20" s="14" t="str">
        <f>IFERROR(INDEX(Players!$B$2:$B$1249,MATCH($C20,Players!$A$2:$A$1249,0)),"")</f>
        <v>Johan Manzambi</v>
      </c>
      <c r="E20" s="14">
        <v>11</v>
      </c>
      <c r="F20" s="14" t="str">
        <f>IFERROR(INDEX(Teams!$B$2:$B$49,MATCH($E20,Teams!$A$2:$A$49,0)),"")</f>
        <v>Switzerland</v>
      </c>
      <c r="G20" s="14" t="s">
        <v>260</v>
      </c>
      <c r="H20" s="14"/>
      <c r="I20" s="14" t="str">
        <f>IFERROR(INDEX(Matches!$C$2:$C$105,MATCH($B20,Matches!$A$2:$A$105,0)),"")</f>
        <v>First Stage</v>
      </c>
    </row>
    <row r="21" spans="1:9" x14ac:dyDescent="0.3">
      <c r="A21" s="14">
        <v>20</v>
      </c>
      <c r="B21" s="14">
        <v>26</v>
      </c>
      <c r="C21" s="14">
        <v>1102</v>
      </c>
      <c r="D21" s="14" t="str">
        <f>IFERROR(INDEX(Players!$B$2:$B$1249,MATCH($C21,Players!$A$2:$A$1249,0)),"")</f>
        <v>Granit Xhaka</v>
      </c>
      <c r="E21" s="14">
        <v>11</v>
      </c>
      <c r="F21" s="14" t="str">
        <f>IFERROR(INDEX(Teams!$B$2:$B$49,MATCH($E21,Teams!$A$2:$A$49,0)),"")</f>
        <v>Switzerland</v>
      </c>
      <c r="G21" s="14" t="s">
        <v>261</v>
      </c>
      <c r="H21" s="14" t="s">
        <v>248</v>
      </c>
      <c r="I21" s="14" t="str">
        <f>IFERROR(INDEX(Matches!$C$2:$C$105,MATCH($B21,Matches!$A$2:$A$105,0)),"")</f>
        <v>First Stage</v>
      </c>
    </row>
    <row r="22" spans="1:9" x14ac:dyDescent="0.3">
      <c r="A22" s="14">
        <v>21</v>
      </c>
      <c r="B22" s="14">
        <v>26</v>
      </c>
      <c r="C22" s="14">
        <v>156</v>
      </c>
      <c r="D22" s="14" t="str">
        <f>IFERROR(INDEX(Players!$B$2:$B$1249,MATCH($C22,Players!$A$2:$A$1249,0)),"")</f>
        <v>Ermin Mahmic</v>
      </c>
      <c r="E22" s="14">
        <v>26</v>
      </c>
      <c r="F22" s="14" t="str">
        <f>IFERROR(INDEX(Teams!$B$2:$B$49,MATCH($E22,Teams!$A$2:$A$49,0)),"")</f>
        <v>Bosnia and Herzegovina</v>
      </c>
      <c r="G22" s="14" t="s">
        <v>262</v>
      </c>
      <c r="H22" s="14"/>
      <c r="I22" s="14" t="str">
        <f>IFERROR(INDEX(Matches!$C$2:$C$105,MATCH($B22,Matches!$A$2:$A$105,0)),"")</f>
        <v>First Stage</v>
      </c>
    </row>
    <row r="23" spans="1:9" x14ac:dyDescent="0.3">
      <c r="A23" s="14">
        <v>22</v>
      </c>
      <c r="B23" s="14">
        <v>27</v>
      </c>
      <c r="C23" s="14">
        <v>217</v>
      </c>
      <c r="D23" s="14" t="str">
        <f>IFERROR(INDEX(Players!$B$2:$B$1249,MATCH($C23,Players!$A$2:$A$1249,0)),"")</f>
        <v>Cyle Larin</v>
      </c>
      <c r="E23" s="14">
        <v>16</v>
      </c>
      <c r="F23" s="14" t="str">
        <f>IFERROR(INDEX(Teams!$B$2:$B$49,MATCH($E23,Teams!$A$2:$A$49,0)),"")</f>
        <v>Canada</v>
      </c>
      <c r="G23" s="14" t="s">
        <v>263</v>
      </c>
      <c r="H23" s="14"/>
      <c r="I23" s="14" t="str">
        <f>IFERROR(INDEX(Matches!$C$2:$C$105,MATCH($B23,Matches!$A$2:$A$105,0)),"")</f>
        <v>First Stage</v>
      </c>
    </row>
    <row r="24" spans="1:9" x14ac:dyDescent="0.3">
      <c r="A24" s="14">
        <v>23</v>
      </c>
      <c r="B24" s="14">
        <v>27</v>
      </c>
      <c r="C24" s="14">
        <v>218</v>
      </c>
      <c r="D24" s="14" t="str">
        <f>IFERROR(INDEX(Players!$B$2:$B$1249,MATCH($C24,Players!$A$2:$A$1249,0)),"")</f>
        <v>Jonathan David</v>
      </c>
      <c r="E24" s="14">
        <v>16</v>
      </c>
      <c r="F24" s="14" t="str">
        <f>IFERROR(INDEX(Teams!$B$2:$B$49,MATCH($E24,Teams!$A$2:$A$49,0)),"")</f>
        <v>Canada</v>
      </c>
      <c r="G24" s="14" t="s">
        <v>264</v>
      </c>
      <c r="H24" s="14"/>
      <c r="I24" s="14" t="str">
        <f>IFERROR(INDEX(Matches!$C$2:$C$105,MATCH($B24,Matches!$A$2:$A$105,0)),"")</f>
        <v>First Stage</v>
      </c>
    </row>
    <row r="25" spans="1:9" x14ac:dyDescent="0.3">
      <c r="A25" s="14">
        <v>24</v>
      </c>
      <c r="B25" s="14">
        <v>27</v>
      </c>
      <c r="C25" s="14">
        <v>218</v>
      </c>
      <c r="D25" s="14" t="str">
        <f>IFERROR(INDEX(Players!$B$2:$B$1249,MATCH($C25,Players!$A$2:$A$1249,0)),"")</f>
        <v>Jonathan David</v>
      </c>
      <c r="E25" s="14">
        <v>16</v>
      </c>
      <c r="F25" s="14" t="str">
        <f>IFERROR(INDEX(Teams!$B$2:$B$49,MATCH($E25,Teams!$A$2:$A$49,0)),"")</f>
        <v>Canada</v>
      </c>
      <c r="G25" s="14" t="s">
        <v>265</v>
      </c>
      <c r="H25" s="14"/>
      <c r="I25" s="14" t="str">
        <f>IFERROR(INDEX(Matches!$C$2:$C$105,MATCH($B25,Matches!$A$2:$A$105,0)),"")</f>
        <v>First Stage</v>
      </c>
    </row>
    <row r="26" spans="1:9" x14ac:dyDescent="0.3">
      <c r="A26" s="14">
        <v>25</v>
      </c>
      <c r="B26" s="14">
        <v>27</v>
      </c>
      <c r="C26" s="14">
        <v>233</v>
      </c>
      <c r="D26" s="14" t="str">
        <f>IFERROR(INDEX(Players!$B$2:$B$1249,MATCH($C26,Players!$A$2:$A$1249,0)),"")</f>
        <v>Nathan Saliba</v>
      </c>
      <c r="E26" s="14">
        <v>16</v>
      </c>
      <c r="F26" s="14" t="str">
        <f>IFERROR(INDEX(Teams!$B$2:$B$49,MATCH($E26,Teams!$A$2:$A$49,0)),"")</f>
        <v>Canada</v>
      </c>
      <c r="G26" s="14" t="s">
        <v>266</v>
      </c>
      <c r="H26" s="14"/>
      <c r="I26" s="14" t="str">
        <f>IFERROR(INDEX(Matches!$C$2:$C$105,MATCH($B26,Matches!$A$2:$A$105,0)),"")</f>
        <v>First Stage</v>
      </c>
    </row>
    <row r="27" spans="1:9" x14ac:dyDescent="0.3">
      <c r="A27" s="14">
        <v>26</v>
      </c>
      <c r="B27" s="14">
        <v>27</v>
      </c>
      <c r="C27" s="14">
        <v>936</v>
      </c>
      <c r="D27" s="14" t="str">
        <f>IFERROR(INDEX(Players!$B$2:$B$1249,MATCH($C27,Players!$A$2:$A$1249,0)),"")</f>
        <v>Mohamed Manai</v>
      </c>
      <c r="E27" s="14">
        <v>16</v>
      </c>
      <c r="F27" s="14" t="str">
        <f>IFERROR(INDEX(Teams!$B$2:$B$49,MATCH($E27,Teams!$A$2:$A$49,0)),"")</f>
        <v>Canada</v>
      </c>
      <c r="G27" s="14" t="s">
        <v>267</v>
      </c>
      <c r="H27" s="14" t="s">
        <v>256</v>
      </c>
      <c r="I27" s="14" t="str">
        <f>IFERROR(INDEX(Matches!$C$2:$C$105,MATCH($B27,Matches!$A$2:$A$105,0)),"")</f>
        <v>First Stage</v>
      </c>
    </row>
    <row r="28" spans="1:9" x14ac:dyDescent="0.3">
      <c r="A28" s="14">
        <v>27</v>
      </c>
      <c r="B28" s="14">
        <v>27</v>
      </c>
      <c r="C28" s="14">
        <v>218</v>
      </c>
      <c r="D28" s="14" t="str">
        <f>IFERROR(INDEX(Players!$B$2:$B$1249,MATCH($C28,Players!$A$2:$A$1249,0)),"")</f>
        <v>Jonathan David</v>
      </c>
      <c r="E28" s="14">
        <v>16</v>
      </c>
      <c r="F28" s="14" t="str">
        <f>IFERROR(INDEX(Teams!$B$2:$B$49,MATCH($E28,Teams!$A$2:$A$49,0)),"")</f>
        <v>Canada</v>
      </c>
      <c r="G28" s="14" t="s">
        <v>268</v>
      </c>
      <c r="H28" s="14"/>
      <c r="I28" s="14" t="str">
        <f>IFERROR(INDEX(Matches!$C$2:$C$105,MATCH($B28,Matches!$A$2:$A$105,0)),"")</f>
        <v>First Stage</v>
      </c>
    </row>
    <row r="29" spans="1:9" x14ac:dyDescent="0.3">
      <c r="A29" s="14">
        <v>28</v>
      </c>
      <c r="B29" s="14">
        <v>51</v>
      </c>
      <c r="C29" s="14">
        <v>1109</v>
      </c>
      <c r="D29" s="14" t="str">
        <f>IFERROR(INDEX(Players!$B$2:$B$1249,MATCH($C29,Players!$A$2:$A$1249,0)),"")</f>
        <v>Ruben Vargas</v>
      </c>
      <c r="E29" s="14">
        <v>11</v>
      </c>
      <c r="F29" s="14" t="str">
        <f>IFERROR(INDEX(Teams!$B$2:$B$49,MATCH($E29,Teams!$A$2:$A$49,0)),"")</f>
        <v>Switzerland</v>
      </c>
      <c r="G29" s="14" t="s">
        <v>269</v>
      </c>
      <c r="H29" s="14"/>
      <c r="I29" s="14" t="str">
        <f>IFERROR(INDEX(Matches!$C$2:$C$105,MATCH($B29,Matches!$A$2:$A$105,0)),"")</f>
        <v>First Stage</v>
      </c>
    </row>
    <row r="30" spans="1:9" x14ac:dyDescent="0.3">
      <c r="A30" s="14">
        <v>29</v>
      </c>
      <c r="B30" s="14">
        <v>51</v>
      </c>
      <c r="C30" s="14">
        <v>1101</v>
      </c>
      <c r="D30" s="14" t="str">
        <f>IFERROR(INDEX(Players!$B$2:$B$1249,MATCH($C30,Players!$A$2:$A$1249,0)),"")</f>
        <v>Johan Manzambi</v>
      </c>
      <c r="E30" s="14">
        <v>11</v>
      </c>
      <c r="F30" s="14" t="str">
        <f>IFERROR(INDEX(Teams!$B$2:$B$49,MATCH($E30,Teams!$A$2:$A$49,0)),"")</f>
        <v>Switzerland</v>
      </c>
      <c r="G30" s="14" t="s">
        <v>270</v>
      </c>
      <c r="H30" s="14"/>
      <c r="I30" s="14" t="str">
        <f>IFERROR(INDEX(Matches!$C$2:$C$105,MATCH($B30,Matches!$A$2:$A$105,0)),"")</f>
        <v>First Stage</v>
      </c>
    </row>
    <row r="31" spans="1:9" x14ac:dyDescent="0.3">
      <c r="A31" s="14">
        <v>30</v>
      </c>
      <c r="B31" s="14">
        <v>51</v>
      </c>
      <c r="C31" s="14">
        <v>232</v>
      </c>
      <c r="D31" s="14" t="str">
        <f>IFERROR(INDEX(Players!$B$2:$B$1249,MATCH($C31,Players!$A$2:$A$1249,0)),"")</f>
        <v>Promise David</v>
      </c>
      <c r="E31" s="14">
        <v>16</v>
      </c>
      <c r="F31" s="14" t="str">
        <f>IFERROR(INDEX(Teams!$B$2:$B$49,MATCH($E31,Teams!$A$2:$A$49,0)),"")</f>
        <v>Canada</v>
      </c>
      <c r="G31" s="14" t="s">
        <v>271</v>
      </c>
      <c r="H31" s="14"/>
      <c r="I31" s="14" t="str">
        <f>IFERROR(INDEX(Matches!$C$2:$C$105,MATCH($B31,Matches!$A$2:$A$105,0)),"")</f>
        <v>First Stage</v>
      </c>
    </row>
    <row r="32" spans="1:9" x14ac:dyDescent="0.3">
      <c r="A32" s="14">
        <v>31</v>
      </c>
      <c r="B32" s="14">
        <v>52</v>
      </c>
      <c r="C32" s="14">
        <v>149</v>
      </c>
      <c r="D32" s="14" t="str">
        <f>IFERROR(INDEX(Players!$B$2:$B$1249,MATCH($C32,Players!$A$2:$A$1249,0)),"")</f>
        <v>Kerim Alajbegovic</v>
      </c>
      <c r="E32" s="14">
        <v>26</v>
      </c>
      <c r="F32" s="14" t="str">
        <f>IFERROR(INDEX(Teams!$B$2:$B$49,MATCH($E32,Teams!$A$2:$A$49,0)),"")</f>
        <v>Bosnia and Herzegovina</v>
      </c>
      <c r="G32" s="14" t="s">
        <v>264</v>
      </c>
      <c r="H32" s="14"/>
      <c r="I32" s="14" t="str">
        <f>IFERROR(INDEX(Matches!$C$2:$C$105,MATCH($B32,Matches!$A$2:$A$105,0)),"")</f>
        <v>First Stage</v>
      </c>
    </row>
    <row r="33" spans="1:9" x14ac:dyDescent="0.3">
      <c r="A33" s="14">
        <v>32</v>
      </c>
      <c r="B33" s="14">
        <v>52</v>
      </c>
      <c r="C33" s="14">
        <v>911</v>
      </c>
      <c r="D33" s="14" t="str">
        <f>IFERROR(INDEX(Players!$B$2:$B$1249,MATCH($C33,Players!$A$2:$A$1249,0)),"")</f>
        <v>Mahmoud Abunada</v>
      </c>
      <c r="E33" s="14">
        <v>26</v>
      </c>
      <c r="F33" s="14" t="str">
        <f>IFERROR(INDEX(Teams!$B$2:$B$49,MATCH($E33,Teams!$A$2:$A$49,0)),"")</f>
        <v>Bosnia and Herzegovina</v>
      </c>
      <c r="G33" s="14" t="s">
        <v>272</v>
      </c>
      <c r="H33" s="14" t="s">
        <v>256</v>
      </c>
      <c r="I33" s="14" t="str">
        <f>IFERROR(INDEX(Matches!$C$2:$C$105,MATCH($B33,Matches!$A$2:$A$105,0)),"")</f>
        <v>First Stage</v>
      </c>
    </row>
    <row r="34" spans="1:9" x14ac:dyDescent="0.3">
      <c r="A34" s="14">
        <v>33</v>
      </c>
      <c r="B34" s="14">
        <v>52</v>
      </c>
      <c r="C34" s="14">
        <v>156</v>
      </c>
      <c r="D34" s="14" t="str">
        <f>IFERROR(INDEX(Players!$B$2:$B$1249,MATCH($C34,Players!$A$2:$A$1249,0)),"")</f>
        <v>Ermin Mahmic</v>
      </c>
      <c r="E34" s="14">
        <v>26</v>
      </c>
      <c r="F34" s="14" t="str">
        <f>IFERROR(INDEX(Teams!$B$2:$B$49,MATCH($E34,Teams!$A$2:$A$49,0)),"")</f>
        <v>Bosnia and Herzegovina</v>
      </c>
      <c r="G34" s="14" t="s">
        <v>244</v>
      </c>
      <c r="H34" s="14"/>
      <c r="I34" s="14" t="str">
        <f>IFERROR(INDEX(Matches!$C$2:$C$105,MATCH($B34,Matches!$A$2:$A$105,0)),"")</f>
        <v>First Stage</v>
      </c>
    </row>
    <row r="35" spans="1:9" x14ac:dyDescent="0.3">
      <c r="A35" s="14">
        <v>34</v>
      </c>
      <c r="B35" s="14">
        <v>52</v>
      </c>
      <c r="C35" s="14">
        <v>920</v>
      </c>
      <c r="D35" s="14" t="str">
        <f>IFERROR(INDEX(Players!$B$2:$B$1249,MATCH($C35,Players!$A$2:$A$1249,0)),"")</f>
        <v>Hassan Alhaydos</v>
      </c>
      <c r="E35" s="14">
        <v>44</v>
      </c>
      <c r="F35" s="14" t="str">
        <f>IFERROR(INDEX(Teams!$B$2:$B$49,MATCH($E35,Teams!$A$2:$A$49,0)),"")</f>
        <v>Qatar</v>
      </c>
      <c r="G35" s="14" t="s">
        <v>273</v>
      </c>
      <c r="H35" s="14"/>
      <c r="I35" s="14" t="str">
        <f>IFERROR(INDEX(Matches!$C$2:$C$105,MATCH($B35,Matches!$A$2:$A$105,0)),"")</f>
        <v>First Stage</v>
      </c>
    </row>
    <row r="36" spans="1:9" x14ac:dyDescent="0.3">
      <c r="A36" s="14">
        <v>35</v>
      </c>
      <c r="B36" s="14">
        <v>7</v>
      </c>
      <c r="C36" s="14">
        <v>163</v>
      </c>
      <c r="D36" s="14" t="str">
        <f>IFERROR(INDEX(Players!$B$2:$B$1249,MATCH($C36,Players!$A$2:$A$1249,0)),"")</f>
        <v>Vinicius Junior</v>
      </c>
      <c r="E36" s="14">
        <v>3</v>
      </c>
      <c r="F36" s="14" t="str">
        <f>IFERROR(INDEX(Teams!$B$2:$B$49,MATCH($E36,Teams!$A$2:$A$49,0)),"")</f>
        <v>Brazil</v>
      </c>
      <c r="G36" s="14" t="s">
        <v>274</v>
      </c>
      <c r="H36" s="14"/>
      <c r="I36" s="14" t="str">
        <f>IFERROR(INDEX(Matches!$C$2:$C$105,MATCH($B36,Matches!$A$2:$A$105,0)),"")</f>
        <v>First Stage</v>
      </c>
    </row>
    <row r="37" spans="1:9" x14ac:dyDescent="0.3">
      <c r="A37" s="14">
        <v>36</v>
      </c>
      <c r="B37" s="14">
        <v>7</v>
      </c>
      <c r="C37" s="14">
        <v>739</v>
      </c>
      <c r="D37" s="14" t="str">
        <f>IFERROR(INDEX(Players!$B$2:$B$1249,MATCH($C37,Players!$A$2:$A$1249,0)),"")</f>
        <v>Ismael Saibari</v>
      </c>
      <c r="E37" s="14">
        <v>21</v>
      </c>
      <c r="F37" s="14" t="str">
        <f>IFERROR(INDEX(Teams!$B$2:$B$49,MATCH($E37,Teams!$A$2:$A$49,0)),"")</f>
        <v>Morocco</v>
      </c>
      <c r="G37" s="14" t="s">
        <v>255</v>
      </c>
      <c r="H37" s="14"/>
      <c r="I37" s="14" t="str">
        <f>IFERROR(INDEX(Matches!$C$2:$C$105,MATCH($B37,Matches!$A$2:$A$105,0)),"")</f>
        <v>First Stage</v>
      </c>
    </row>
    <row r="38" spans="1:9" x14ac:dyDescent="0.3">
      <c r="A38" s="14">
        <v>37</v>
      </c>
      <c r="B38" s="14">
        <v>5</v>
      </c>
      <c r="C38" s="14">
        <v>969</v>
      </c>
      <c r="D38" s="14" t="str">
        <f>IFERROR(INDEX(Players!$B$2:$B$1249,MATCH($C38,Players!$A$2:$A$1249,0)),"")</f>
        <v>John Mcginn</v>
      </c>
      <c r="E38" s="14">
        <v>33</v>
      </c>
      <c r="F38" s="14" t="str">
        <f>IFERROR(INDEX(Teams!$B$2:$B$49,MATCH($E38,Teams!$A$2:$A$49,0)),"")</f>
        <v>Scotland</v>
      </c>
      <c r="G38" s="14" t="s">
        <v>275</v>
      </c>
      <c r="H38" s="14"/>
      <c r="I38" s="14" t="str">
        <f>IFERROR(INDEX(Matches!$C$2:$C$105,MATCH($B38,Matches!$A$2:$A$105,0)),"")</f>
        <v>First Stage</v>
      </c>
    </row>
    <row r="39" spans="1:9" x14ac:dyDescent="0.3">
      <c r="A39" s="14">
        <v>38</v>
      </c>
      <c r="B39" s="14">
        <v>30</v>
      </c>
      <c r="C39" s="14">
        <v>739</v>
      </c>
      <c r="D39" s="14" t="str">
        <f>IFERROR(INDEX(Players!$B$2:$B$1249,MATCH($C39,Players!$A$2:$A$1249,0)),"")</f>
        <v>Ismael Saibari</v>
      </c>
      <c r="E39" s="14">
        <v>21</v>
      </c>
      <c r="F39" s="14" t="str">
        <f>IFERROR(INDEX(Teams!$B$2:$B$49,MATCH($E39,Teams!$A$2:$A$49,0)),"")</f>
        <v>Morocco</v>
      </c>
      <c r="G39" s="14" t="s">
        <v>276</v>
      </c>
      <c r="H39" s="14"/>
      <c r="I39" s="14" t="str">
        <f>IFERROR(INDEX(Matches!$C$2:$C$105,MATCH($B39,Matches!$A$2:$A$105,0)),"")</f>
        <v>First Stage</v>
      </c>
    </row>
    <row r="40" spans="1:9" x14ac:dyDescent="0.3">
      <c r="A40" s="14">
        <v>39</v>
      </c>
      <c r="B40" s="14">
        <v>29</v>
      </c>
      <c r="C40" s="14">
        <v>165</v>
      </c>
      <c r="D40" s="14" t="str">
        <f>IFERROR(INDEX(Players!$B$2:$B$1249,MATCH($C40,Players!$A$2:$A$1249,0)),"")</f>
        <v>Matheus Cunha</v>
      </c>
      <c r="E40" s="14">
        <v>3</v>
      </c>
      <c r="F40" s="14" t="str">
        <f>IFERROR(INDEX(Teams!$B$2:$B$49,MATCH($E40,Teams!$A$2:$A$49,0)),"")</f>
        <v>Brazil</v>
      </c>
      <c r="G40" s="14" t="s">
        <v>277</v>
      </c>
      <c r="H40" s="14"/>
      <c r="I40" s="14" t="str">
        <f>IFERROR(INDEX(Matches!$C$2:$C$105,MATCH($B40,Matches!$A$2:$A$105,0)),"")</f>
        <v>First Stage</v>
      </c>
    </row>
    <row r="41" spans="1:9" x14ac:dyDescent="0.3">
      <c r="A41" s="14">
        <v>40</v>
      </c>
      <c r="B41" s="14">
        <v>29</v>
      </c>
      <c r="C41" s="14">
        <v>165</v>
      </c>
      <c r="D41" s="14" t="str">
        <f>IFERROR(INDEX(Players!$B$2:$B$1249,MATCH($C41,Players!$A$2:$A$1249,0)),"")</f>
        <v>Matheus Cunha</v>
      </c>
      <c r="E41" s="14">
        <v>3</v>
      </c>
      <c r="F41" s="14" t="str">
        <f>IFERROR(INDEX(Teams!$B$2:$B$49,MATCH($E41,Teams!$A$2:$A$49,0)),"")</f>
        <v>Brazil</v>
      </c>
      <c r="G41" s="14" t="s">
        <v>278</v>
      </c>
      <c r="H41" s="14"/>
      <c r="I41" s="14" t="str">
        <f>IFERROR(INDEX(Matches!$C$2:$C$105,MATCH($B41,Matches!$A$2:$A$105,0)),"")</f>
        <v>First Stage</v>
      </c>
    </row>
    <row r="42" spans="1:9" x14ac:dyDescent="0.3">
      <c r="A42" s="14">
        <v>41</v>
      </c>
      <c r="B42" s="14">
        <v>29</v>
      </c>
      <c r="C42" s="14">
        <v>163</v>
      </c>
      <c r="D42" s="14" t="str">
        <f>IFERROR(INDEX(Players!$B$2:$B$1249,MATCH($C42,Players!$A$2:$A$1249,0)),"")</f>
        <v>Vinicius Junior</v>
      </c>
      <c r="E42" s="14">
        <v>3</v>
      </c>
      <c r="F42" s="14" t="str">
        <f>IFERROR(INDEX(Teams!$B$2:$B$49,MATCH($E42,Teams!$A$2:$A$49,0)),"")</f>
        <v>Brazil</v>
      </c>
      <c r="G42" s="14" t="s">
        <v>265</v>
      </c>
      <c r="H42" s="14"/>
      <c r="I42" s="14" t="str">
        <f>IFERROR(INDEX(Matches!$C$2:$C$105,MATCH($B42,Matches!$A$2:$A$105,0)),"")</f>
        <v>First Stage</v>
      </c>
    </row>
    <row r="43" spans="1:9" x14ac:dyDescent="0.3">
      <c r="A43" s="14">
        <v>42</v>
      </c>
      <c r="B43" s="14">
        <v>49</v>
      </c>
      <c r="C43" s="14">
        <v>163</v>
      </c>
      <c r="D43" s="14" t="str">
        <f>IFERROR(INDEX(Players!$B$2:$B$1249,MATCH($C43,Players!$A$2:$A$1249,0)),"")</f>
        <v>Vinicius Junior</v>
      </c>
      <c r="E43" s="14">
        <v>3</v>
      </c>
      <c r="F43" s="14" t="str">
        <f>IFERROR(INDEX(Teams!$B$2:$B$49,MATCH($E43,Teams!$A$2:$A$49,0)),"")</f>
        <v>Brazil</v>
      </c>
      <c r="G43" s="14" t="s">
        <v>279</v>
      </c>
      <c r="H43" s="14"/>
      <c r="I43" s="14" t="str">
        <f>IFERROR(INDEX(Matches!$C$2:$C$105,MATCH($B43,Matches!$A$2:$A$105,0)),"")</f>
        <v>First Stage</v>
      </c>
    </row>
    <row r="44" spans="1:9" x14ac:dyDescent="0.3">
      <c r="A44" s="14">
        <v>43</v>
      </c>
      <c r="B44" s="14">
        <v>49</v>
      </c>
      <c r="C44" s="14">
        <v>163</v>
      </c>
      <c r="D44" s="14" t="str">
        <f>IFERROR(INDEX(Players!$B$2:$B$1249,MATCH($C44,Players!$A$2:$A$1249,0)),"")</f>
        <v>Vinicius Junior</v>
      </c>
      <c r="E44" s="14">
        <v>3</v>
      </c>
      <c r="F44" s="14" t="str">
        <f>IFERROR(INDEX(Teams!$B$2:$B$49,MATCH($E44,Teams!$A$2:$A$49,0)),"")</f>
        <v>Brazil</v>
      </c>
      <c r="G44" s="14" t="s">
        <v>265</v>
      </c>
      <c r="H44" s="14"/>
      <c r="I44" s="14" t="str">
        <f>IFERROR(INDEX(Matches!$C$2:$C$105,MATCH($B44,Matches!$A$2:$A$105,0)),"")</f>
        <v>First Stage</v>
      </c>
    </row>
    <row r="45" spans="1:9" x14ac:dyDescent="0.3">
      <c r="A45" s="14">
        <v>44</v>
      </c>
      <c r="B45" s="14">
        <v>49</v>
      </c>
      <c r="C45" s="14">
        <v>165</v>
      </c>
      <c r="D45" s="14" t="str">
        <f>IFERROR(INDEX(Players!$B$2:$B$1249,MATCH($C45,Players!$A$2:$A$1249,0)),"")</f>
        <v>Matheus Cunha</v>
      </c>
      <c r="E45" s="14">
        <v>3</v>
      </c>
      <c r="F45" s="14" t="str">
        <f>IFERROR(INDEX(Teams!$B$2:$B$49,MATCH($E45,Teams!$A$2:$A$49,0)),"")</f>
        <v>Brazil</v>
      </c>
      <c r="G45" s="14" t="s">
        <v>280</v>
      </c>
      <c r="H45" s="14"/>
      <c r="I45" s="14" t="str">
        <f>IFERROR(INDEX(Matches!$C$2:$C$105,MATCH($B45,Matches!$A$2:$A$105,0)),"")</f>
        <v>First Stage</v>
      </c>
    </row>
    <row r="46" spans="1:9" x14ac:dyDescent="0.3">
      <c r="A46" s="14">
        <v>45</v>
      </c>
      <c r="B46" s="14">
        <v>50</v>
      </c>
      <c r="C46" s="14">
        <v>730</v>
      </c>
      <c r="D46" s="14" t="str">
        <f>IFERROR(INDEX(Players!$B$2:$B$1249,MATCH($C46,Players!$A$2:$A$1249,0)),"")</f>
        <v>Achraf Hakimi</v>
      </c>
      <c r="E46" s="14">
        <v>21</v>
      </c>
      <c r="F46" s="14" t="str">
        <f>IFERROR(INDEX(Teams!$B$2:$B$49,MATCH($E46,Teams!$A$2:$A$49,0)),"")</f>
        <v>Morocco</v>
      </c>
      <c r="G46" s="14" t="s">
        <v>281</v>
      </c>
      <c r="H46" s="14"/>
      <c r="I46" s="14" t="str">
        <f>IFERROR(INDEX(Matches!$C$2:$C$105,MATCH($B46,Matches!$A$2:$A$105,0)),"")</f>
        <v>First Stage</v>
      </c>
    </row>
    <row r="47" spans="1:9" x14ac:dyDescent="0.3">
      <c r="A47" s="14">
        <v>46</v>
      </c>
      <c r="B47" s="14">
        <v>50</v>
      </c>
      <c r="C47" s="14">
        <v>739</v>
      </c>
      <c r="D47" s="14" t="str">
        <f>IFERROR(INDEX(Players!$B$2:$B$1249,MATCH($C47,Players!$A$2:$A$1249,0)),"")</f>
        <v>Ismael Saibari</v>
      </c>
      <c r="E47" s="14">
        <v>21</v>
      </c>
      <c r="F47" s="14" t="str">
        <f>IFERROR(INDEX(Teams!$B$2:$B$49,MATCH($E47,Teams!$A$2:$A$49,0)),"")</f>
        <v>Morocco</v>
      </c>
      <c r="G47" s="14" t="s">
        <v>282</v>
      </c>
      <c r="H47" s="14"/>
      <c r="I47" s="14" t="str">
        <f>IFERROR(INDEX(Matches!$C$2:$C$105,MATCH($B47,Matches!$A$2:$A$105,0)),"")</f>
        <v>First Stage</v>
      </c>
    </row>
    <row r="48" spans="1:9" x14ac:dyDescent="0.3">
      <c r="A48" s="14">
        <v>47</v>
      </c>
      <c r="B48" s="14">
        <v>50</v>
      </c>
      <c r="C48" s="14">
        <v>737</v>
      </c>
      <c r="D48" s="14" t="str">
        <f>IFERROR(INDEX(Players!$B$2:$B$1249,MATCH($C48,Players!$A$2:$A$1249,0)),"")</f>
        <v>Soufiane Rahimi</v>
      </c>
      <c r="E48" s="14">
        <v>21</v>
      </c>
      <c r="F48" s="14" t="str">
        <f>IFERROR(INDEX(Teams!$B$2:$B$49,MATCH($E48,Teams!$A$2:$A$49,0)),"")</f>
        <v>Morocco</v>
      </c>
      <c r="G48" s="14" t="s">
        <v>254</v>
      </c>
      <c r="H48" s="14"/>
      <c r="I48" s="14" t="str">
        <f>IFERROR(INDEX(Matches!$C$2:$C$105,MATCH($B48,Matches!$A$2:$A$105,0)),"")</f>
        <v>First Stage</v>
      </c>
    </row>
    <row r="49" spans="1:9" x14ac:dyDescent="0.3">
      <c r="A49" s="14">
        <v>48</v>
      </c>
      <c r="B49" s="14">
        <v>50</v>
      </c>
      <c r="C49" s="14">
        <v>744</v>
      </c>
      <c r="D49" s="14" t="str">
        <f>IFERROR(INDEX(Players!$B$2:$B$1249,MATCH($C49,Players!$A$2:$A$1249,0)),"")</f>
        <v>Gessime Yassine</v>
      </c>
      <c r="E49" s="14">
        <v>21</v>
      </c>
      <c r="F49" s="14" t="str">
        <f>IFERROR(INDEX(Teams!$B$2:$B$49,MATCH($E49,Teams!$A$2:$A$49,0)),"")</f>
        <v>Morocco</v>
      </c>
      <c r="G49" s="14" t="s">
        <v>283</v>
      </c>
      <c r="H49" s="14"/>
      <c r="I49" s="14" t="str">
        <f>IFERROR(INDEX(Matches!$C$2:$C$105,MATCH($B49,Matches!$A$2:$A$105,0)),"")</f>
        <v>First Stage</v>
      </c>
    </row>
    <row r="50" spans="1:9" x14ac:dyDescent="0.3">
      <c r="A50" s="14">
        <v>49</v>
      </c>
      <c r="B50" s="14">
        <v>50</v>
      </c>
      <c r="C50" s="14">
        <v>729</v>
      </c>
      <c r="D50" s="14" t="str">
        <f>IFERROR(INDEX(Players!$B$2:$B$1249,MATCH($C50,Players!$A$2:$A$1249,0)),"")</f>
        <v>Yassine Bounou</v>
      </c>
      <c r="E50" s="14">
        <v>39</v>
      </c>
      <c r="F50" s="14" t="str">
        <f>IFERROR(INDEX(Teams!$B$2:$B$49,MATCH($E50,Teams!$A$2:$A$49,0)),"")</f>
        <v>Haiti</v>
      </c>
      <c r="G50" s="14" t="s">
        <v>284</v>
      </c>
      <c r="H50" s="14" t="s">
        <v>256</v>
      </c>
      <c r="I50" s="14" t="str">
        <f>IFERROR(INDEX(Matches!$C$2:$C$105,MATCH($B50,Matches!$A$2:$A$105,0)),"")</f>
        <v>First Stage</v>
      </c>
    </row>
    <row r="51" spans="1:9" x14ac:dyDescent="0.3">
      <c r="A51" s="14">
        <v>50</v>
      </c>
      <c r="B51" s="14">
        <v>50</v>
      </c>
      <c r="C51" s="14">
        <v>564</v>
      </c>
      <c r="D51" s="14" t="str">
        <f>IFERROR(INDEX(Players!$B$2:$B$1249,MATCH($C51,Players!$A$2:$A$1249,0)),"")</f>
        <v>Wilson Isidor</v>
      </c>
      <c r="E51" s="14">
        <v>39</v>
      </c>
      <c r="F51" s="14" t="str">
        <f>IFERROR(INDEX(Teams!$B$2:$B$49,MATCH($E51,Teams!$A$2:$A$49,0)),"")</f>
        <v>Haiti</v>
      </c>
      <c r="G51" s="14" t="s">
        <v>285</v>
      </c>
      <c r="H51" s="14"/>
      <c r="I51" s="14" t="str">
        <f>IFERROR(INDEX(Matches!$C$2:$C$105,MATCH($B51,Matches!$A$2:$A$105,0)),"")</f>
        <v>First Stage</v>
      </c>
    </row>
    <row r="52" spans="1:9" x14ac:dyDescent="0.3">
      <c r="A52" s="14">
        <v>51</v>
      </c>
      <c r="B52" s="14">
        <v>4</v>
      </c>
      <c r="C52" s="14">
        <v>874</v>
      </c>
      <c r="D52" s="14" t="str">
        <f>IFERROR(INDEX(Players!$B$2:$B$1249,MATCH($C52,Players!$A$2:$A$1249,0)),"")</f>
        <v>Damian Bobadilla</v>
      </c>
      <c r="E52" s="14">
        <v>12</v>
      </c>
      <c r="F52" s="14" t="str">
        <f>IFERROR(INDEX(Teams!$B$2:$B$49,MATCH($E52,Teams!$A$2:$A$49,0)),"")</f>
        <v>USA</v>
      </c>
      <c r="G52" s="14" t="s">
        <v>279</v>
      </c>
      <c r="H52" s="14" t="s">
        <v>256</v>
      </c>
      <c r="I52" s="14" t="str">
        <f>IFERROR(INDEX(Matches!$C$2:$C$105,MATCH($B52,Matches!$A$2:$A$105,0)),"")</f>
        <v>First Stage</v>
      </c>
    </row>
    <row r="53" spans="1:9" x14ac:dyDescent="0.3">
      <c r="A53" s="14">
        <v>52</v>
      </c>
      <c r="B53" s="14">
        <v>4</v>
      </c>
      <c r="C53" s="14">
        <v>1216</v>
      </c>
      <c r="D53" s="14" t="str">
        <f>IFERROR(INDEX(Players!$B$2:$B$1249,MATCH($C53,Players!$A$2:$A$1249,0)),"")</f>
        <v>Folarin Balogun</v>
      </c>
      <c r="E53" s="14">
        <v>12</v>
      </c>
      <c r="F53" s="14" t="str">
        <f>IFERROR(INDEX(Teams!$B$2:$B$49,MATCH($E53,Teams!$A$2:$A$49,0)),"")</f>
        <v>USA</v>
      </c>
      <c r="G53" s="14" t="s">
        <v>286</v>
      </c>
      <c r="H53" s="14"/>
      <c r="I53" s="14" t="str">
        <f>IFERROR(INDEX(Matches!$C$2:$C$105,MATCH($B53,Matches!$A$2:$A$105,0)),"")</f>
        <v>First Stage</v>
      </c>
    </row>
    <row r="54" spans="1:9" x14ac:dyDescent="0.3">
      <c r="A54" s="14">
        <v>53</v>
      </c>
      <c r="B54" s="14">
        <v>4</v>
      </c>
      <c r="C54" s="14">
        <v>1216</v>
      </c>
      <c r="D54" s="14" t="str">
        <f>IFERROR(INDEX(Players!$B$2:$B$1249,MATCH($C54,Players!$A$2:$A$1249,0)),"")</f>
        <v>Folarin Balogun</v>
      </c>
      <c r="E54" s="14">
        <v>12</v>
      </c>
      <c r="F54" s="14" t="str">
        <f>IFERROR(INDEX(Teams!$B$2:$B$49,MATCH($E54,Teams!$A$2:$A$49,0)),"")</f>
        <v>USA</v>
      </c>
      <c r="G54" s="14" t="s">
        <v>287</v>
      </c>
      <c r="H54" s="14"/>
      <c r="I54" s="14" t="str">
        <f>IFERROR(INDEX(Matches!$C$2:$C$105,MATCH($B54,Matches!$A$2:$A$105,0)),"")</f>
        <v>First Stage</v>
      </c>
    </row>
    <row r="55" spans="1:9" x14ac:dyDescent="0.3">
      <c r="A55" s="14">
        <v>54</v>
      </c>
      <c r="B55" s="14">
        <v>4</v>
      </c>
      <c r="C55" s="14">
        <v>1203</v>
      </c>
      <c r="D55" s="14" t="str">
        <f>IFERROR(INDEX(Players!$B$2:$B$1249,MATCH($C55,Players!$A$2:$A$1249,0)),"")</f>
        <v>Giovanni Reyna</v>
      </c>
      <c r="E55" s="14">
        <v>12</v>
      </c>
      <c r="F55" s="14" t="str">
        <f>IFERROR(INDEX(Teams!$B$2:$B$49,MATCH($E55,Teams!$A$2:$A$49,0)),"")</f>
        <v>USA</v>
      </c>
      <c r="G55" s="14" t="s">
        <v>288</v>
      </c>
      <c r="H55" s="14"/>
      <c r="I55" s="14" t="str">
        <f>IFERROR(INDEX(Matches!$C$2:$C$105,MATCH($B55,Matches!$A$2:$A$105,0)),"")</f>
        <v>First Stage</v>
      </c>
    </row>
    <row r="56" spans="1:9" x14ac:dyDescent="0.3">
      <c r="A56" s="14">
        <v>55</v>
      </c>
      <c r="B56" s="14">
        <v>4</v>
      </c>
      <c r="C56" s="14">
        <v>869</v>
      </c>
      <c r="D56" s="14" t="str">
        <f>IFERROR(INDEX(Players!$B$2:$B$1249,MATCH($C56,Players!$A$2:$A$1249,0)),"")</f>
        <v>Mauricio</v>
      </c>
      <c r="E56" s="14">
        <v>32</v>
      </c>
      <c r="F56" s="14" t="str">
        <f>IFERROR(INDEX(Teams!$B$2:$B$49,MATCH($E56,Teams!$A$2:$A$49,0)),"")</f>
        <v>Paraguay</v>
      </c>
      <c r="G56" s="14" t="s">
        <v>289</v>
      </c>
      <c r="H56" s="14"/>
      <c r="I56" s="14" t="str">
        <f>IFERROR(INDEX(Matches!$C$2:$C$105,MATCH($B56,Matches!$A$2:$A$105,0)),"")</f>
        <v>First Stage</v>
      </c>
    </row>
    <row r="57" spans="1:9" x14ac:dyDescent="0.3">
      <c r="A57" s="14">
        <v>56</v>
      </c>
      <c r="B57" s="14">
        <v>6</v>
      </c>
      <c r="C57" s="14">
        <v>69</v>
      </c>
      <c r="D57" s="14" t="str">
        <f>IFERROR(INDEX(Players!$B$2:$B$1249,MATCH($C57,Players!$A$2:$A$1249,0)),"")</f>
        <v>Nestory Irankunda</v>
      </c>
      <c r="E57" s="14">
        <v>13</v>
      </c>
      <c r="F57" s="14" t="str">
        <f>IFERROR(INDEX(Teams!$B$2:$B$49,MATCH($E57,Teams!$A$2:$A$49,0)),"")</f>
        <v>Australia</v>
      </c>
      <c r="G57" s="14" t="s">
        <v>290</v>
      </c>
      <c r="H57" s="14"/>
      <c r="I57" s="14" t="str">
        <f>IFERROR(INDEX(Matches!$C$2:$C$105,MATCH($B57,Matches!$A$2:$A$105,0)),"")</f>
        <v>First Stage</v>
      </c>
    </row>
    <row r="58" spans="1:9" x14ac:dyDescent="0.3">
      <c r="A58" s="14">
        <v>57</v>
      </c>
      <c r="B58" s="14">
        <v>6</v>
      </c>
      <c r="C58" s="14">
        <v>60</v>
      </c>
      <c r="D58" s="14" t="str">
        <f>IFERROR(INDEX(Players!$B$2:$B$1249,MATCH($C58,Players!$A$2:$A$1249,0)),"")</f>
        <v>Connor Metcalfe</v>
      </c>
      <c r="E58" s="14">
        <v>13</v>
      </c>
      <c r="F58" s="14" t="str">
        <f>IFERROR(INDEX(Teams!$B$2:$B$49,MATCH($E58,Teams!$A$2:$A$49,0)),"")</f>
        <v>Australia</v>
      </c>
      <c r="G58" s="14" t="s">
        <v>267</v>
      </c>
      <c r="H58" s="14"/>
      <c r="I58" s="14" t="str">
        <f>IFERROR(INDEX(Matches!$C$2:$C$105,MATCH($B58,Matches!$A$2:$A$105,0)),"")</f>
        <v>First Stage</v>
      </c>
    </row>
    <row r="59" spans="1:9" x14ac:dyDescent="0.3">
      <c r="A59" s="14">
        <v>58</v>
      </c>
      <c r="B59" s="14">
        <v>32</v>
      </c>
      <c r="C59" s="14">
        <v>73</v>
      </c>
      <c r="D59" s="14" t="str">
        <f>IFERROR(INDEX(Players!$B$2:$B$1249,MATCH($C59,Players!$A$2:$A$1249,0)),"")</f>
        <v>Cameron Burgess</v>
      </c>
      <c r="E59" s="14">
        <v>12</v>
      </c>
      <c r="F59" s="14" t="str">
        <f>IFERROR(INDEX(Teams!$B$2:$B$49,MATCH($E59,Teams!$A$2:$A$49,0)),"")</f>
        <v>USA</v>
      </c>
      <c r="G59" s="14" t="s">
        <v>291</v>
      </c>
      <c r="H59" s="14" t="s">
        <v>256</v>
      </c>
      <c r="I59" s="14" t="str">
        <f>IFERROR(INDEX(Matches!$C$2:$C$105,MATCH($B59,Matches!$A$2:$A$105,0)),"")</f>
        <v>First Stage</v>
      </c>
    </row>
    <row r="60" spans="1:9" x14ac:dyDescent="0.3">
      <c r="A60" s="14">
        <v>59</v>
      </c>
      <c r="B60" s="14">
        <v>32</v>
      </c>
      <c r="C60" s="14">
        <v>1212</v>
      </c>
      <c r="D60" s="14" t="str">
        <f>IFERROR(INDEX(Players!$B$2:$B$1249,MATCH($C60,Players!$A$2:$A$1249,0)),"")</f>
        <v>Alex Freeman</v>
      </c>
      <c r="E60" s="14">
        <v>12</v>
      </c>
      <c r="F60" s="14" t="str">
        <f>IFERROR(INDEX(Teams!$B$2:$B$49,MATCH($E60,Teams!$A$2:$A$49,0)),"")</f>
        <v>USA</v>
      </c>
      <c r="G60" s="14" t="s">
        <v>285</v>
      </c>
      <c r="H60" s="14"/>
      <c r="I60" s="14" t="str">
        <f>IFERROR(INDEX(Matches!$C$2:$C$105,MATCH($B60,Matches!$A$2:$A$105,0)),"")</f>
        <v>First Stage</v>
      </c>
    </row>
    <row r="61" spans="1:9" x14ac:dyDescent="0.3">
      <c r="A61" s="14">
        <v>60</v>
      </c>
      <c r="B61" s="14">
        <v>31</v>
      </c>
      <c r="C61" s="14">
        <v>881</v>
      </c>
      <c r="D61" s="14" t="str">
        <f>IFERROR(INDEX(Players!$B$2:$B$1249,MATCH($C61,Players!$A$2:$A$1249,0)),"")</f>
        <v>Matias Galarza</v>
      </c>
      <c r="E61" s="14">
        <v>32</v>
      </c>
      <c r="F61" s="14" t="str">
        <f>IFERROR(INDEX(Teams!$B$2:$B$49,MATCH($E61,Teams!$A$2:$A$49,0)),"")</f>
        <v>Paraguay</v>
      </c>
      <c r="G61" s="14" t="s">
        <v>276</v>
      </c>
      <c r="H61" s="14"/>
      <c r="I61" s="14" t="str">
        <f>IFERROR(INDEX(Matches!$C$2:$C$105,MATCH($B61,Matches!$A$2:$A$105,0)),"")</f>
        <v>First Stage</v>
      </c>
    </row>
    <row r="62" spans="1:9" x14ac:dyDescent="0.3">
      <c r="A62" s="14">
        <v>61</v>
      </c>
      <c r="B62" s="14">
        <v>59</v>
      </c>
      <c r="C62" s="14">
        <v>1152</v>
      </c>
      <c r="D62" s="14" t="str">
        <f>IFERROR(INDEX(Players!$B$2:$B$1249,MATCH($C62,Players!$A$2:$A$1249,0)),"")</f>
        <v>Arda Guler</v>
      </c>
      <c r="E62" s="14">
        <v>47</v>
      </c>
      <c r="F62" s="14" t="str">
        <f>IFERROR(INDEX(Teams!$B$2:$B$49,MATCH($E62,Teams!$A$2:$A$49,0)),"")</f>
        <v>Türkiye</v>
      </c>
      <c r="G62" s="14" t="s">
        <v>284</v>
      </c>
      <c r="H62" s="14"/>
      <c r="I62" s="14" t="str">
        <f>IFERROR(INDEX(Matches!$C$2:$C$105,MATCH($B62,Matches!$A$2:$A$105,0)),"")</f>
        <v>First Stage</v>
      </c>
    </row>
    <row r="63" spans="1:9" x14ac:dyDescent="0.3">
      <c r="A63" s="14">
        <v>62</v>
      </c>
      <c r="B63" s="14">
        <v>59</v>
      </c>
      <c r="C63" s="14">
        <v>1165</v>
      </c>
      <c r="D63" s="14" t="str">
        <f>IFERROR(INDEX(Players!$B$2:$B$1249,MATCH($C63,Players!$A$2:$A$1249,0)),"")</f>
        <v>Baris Alper Yilmaz</v>
      </c>
      <c r="E63" s="14">
        <v>47</v>
      </c>
      <c r="F63" s="14" t="str">
        <f>IFERROR(INDEX(Teams!$B$2:$B$49,MATCH($E63,Teams!$A$2:$A$49,0)),"")</f>
        <v>Türkiye</v>
      </c>
      <c r="G63" s="14" t="s">
        <v>286</v>
      </c>
      <c r="H63" s="14"/>
      <c r="I63" s="14" t="str">
        <f>IFERROR(INDEX(Matches!$C$2:$C$105,MATCH($B63,Matches!$A$2:$A$105,0)),"")</f>
        <v>First Stage</v>
      </c>
    </row>
    <row r="64" spans="1:9" x14ac:dyDescent="0.3">
      <c r="A64" s="14">
        <v>63</v>
      </c>
      <c r="B64" s="14">
        <v>59</v>
      </c>
      <c r="C64" s="14">
        <v>1166</v>
      </c>
      <c r="D64" s="14" t="str">
        <f>IFERROR(INDEX(Players!$B$2:$B$1249,MATCH($C64,Players!$A$2:$A$1249,0)),"")</f>
        <v>Kaan Ayhan</v>
      </c>
      <c r="E64" s="14">
        <v>47</v>
      </c>
      <c r="F64" s="14" t="str">
        <f>IFERROR(INDEX(Teams!$B$2:$B$49,MATCH($E64,Teams!$A$2:$A$49,0)),"")</f>
        <v>Türkiye</v>
      </c>
      <c r="G64" s="14" t="s">
        <v>288</v>
      </c>
      <c r="H64" s="14"/>
      <c r="I64" s="14" t="str">
        <f>IFERROR(INDEX(Matches!$C$2:$C$105,MATCH($B64,Matches!$A$2:$A$105,0)),"")</f>
        <v>First Stage</v>
      </c>
    </row>
    <row r="65" spans="1:9" x14ac:dyDescent="0.3">
      <c r="A65" s="14">
        <v>64</v>
      </c>
      <c r="B65" s="14">
        <v>59</v>
      </c>
      <c r="C65" s="14">
        <v>1202</v>
      </c>
      <c r="D65" s="14" t="str">
        <f>IFERROR(INDEX(Players!$B$2:$B$1249,MATCH($C65,Players!$A$2:$A$1249,0)),"")</f>
        <v>Auston Trusty</v>
      </c>
      <c r="E65" s="14">
        <v>12</v>
      </c>
      <c r="F65" s="14" t="str">
        <f>IFERROR(INDEX(Teams!$B$2:$B$49,MATCH($E65,Teams!$A$2:$A$49,0)),"")</f>
        <v>USA</v>
      </c>
      <c r="G65" s="14" t="s">
        <v>292</v>
      </c>
      <c r="H65" s="14"/>
      <c r="I65" s="14" t="str">
        <f>IFERROR(INDEX(Matches!$C$2:$C$105,MATCH($B65,Matches!$A$2:$A$105,0)),"")</f>
        <v>First Stage</v>
      </c>
    </row>
    <row r="66" spans="1:9" x14ac:dyDescent="0.3">
      <c r="A66" s="14">
        <v>65</v>
      </c>
      <c r="B66" s="14">
        <v>59</v>
      </c>
      <c r="C66" s="14">
        <v>1210</v>
      </c>
      <c r="D66" s="14" t="str">
        <f>IFERROR(INDEX(Players!$B$2:$B$1249,MATCH($C66,Players!$A$2:$A$1249,0)),"")</f>
        <v>Sebastian Berhalter</v>
      </c>
      <c r="E66" s="14">
        <v>12</v>
      </c>
      <c r="F66" s="14" t="str">
        <f>IFERROR(INDEX(Teams!$B$2:$B$49,MATCH($E66,Teams!$A$2:$A$49,0)),"")</f>
        <v>USA</v>
      </c>
      <c r="G66" s="14" t="s">
        <v>293</v>
      </c>
      <c r="H66" s="14"/>
      <c r="I66" s="14" t="str">
        <f>IFERROR(INDEX(Matches!$C$2:$C$105,MATCH($B66,Matches!$A$2:$A$105,0)),"")</f>
        <v>First Stage</v>
      </c>
    </row>
    <row r="67" spans="1:9" x14ac:dyDescent="0.3">
      <c r="A67" s="14">
        <v>66</v>
      </c>
      <c r="B67" s="14">
        <v>10</v>
      </c>
      <c r="C67" s="14">
        <v>517</v>
      </c>
      <c r="D67" s="14" t="str">
        <f>IFERROR(INDEX(Players!$B$2:$B$1249,MATCH($C67,Players!$A$2:$A$1249,0)),"")</f>
        <v>Felix Nmecha</v>
      </c>
      <c r="E67" s="14">
        <v>7</v>
      </c>
      <c r="F67" s="14" t="str">
        <f>IFERROR(INDEX(Teams!$B$2:$B$49,MATCH($E67,Teams!$A$2:$A$49,0)),"")</f>
        <v>Germany</v>
      </c>
      <c r="G67" s="14" t="s">
        <v>246</v>
      </c>
      <c r="H67" s="14"/>
      <c r="I67" s="14" t="str">
        <f>IFERROR(INDEX(Matches!$C$2:$C$105,MATCH($B67,Matches!$A$2:$A$105,0)),"")</f>
        <v>First Stage</v>
      </c>
    </row>
    <row r="68" spans="1:9" x14ac:dyDescent="0.3">
      <c r="A68" s="14">
        <v>67</v>
      </c>
      <c r="B68" s="14">
        <v>10</v>
      </c>
      <c r="C68" s="14">
        <v>509</v>
      </c>
      <c r="D68" s="14" t="str">
        <f>IFERROR(INDEX(Players!$B$2:$B$1249,MATCH($C68,Players!$A$2:$A$1249,0)),"")</f>
        <v>Nico Schlotterbeck</v>
      </c>
      <c r="E68" s="14">
        <v>7</v>
      </c>
      <c r="F68" s="14" t="str">
        <f>IFERROR(INDEX(Teams!$B$2:$B$49,MATCH($E68,Teams!$A$2:$A$49,0)),"")</f>
        <v>Germany</v>
      </c>
      <c r="G68" s="14" t="s">
        <v>294</v>
      </c>
      <c r="H68" s="14"/>
      <c r="I68" s="14" t="str">
        <f>IFERROR(INDEX(Matches!$C$2:$C$105,MATCH($B68,Matches!$A$2:$A$105,0)),"")</f>
        <v>First Stage</v>
      </c>
    </row>
    <row r="69" spans="1:9" x14ac:dyDescent="0.3">
      <c r="A69" s="14">
        <v>68</v>
      </c>
      <c r="B69" s="14">
        <v>10</v>
      </c>
      <c r="C69" s="14">
        <v>501</v>
      </c>
      <c r="D69" s="14" t="str">
        <f>IFERROR(INDEX(Players!$B$2:$B$1249,MATCH($C69,Players!$A$2:$A$1249,0)),"")</f>
        <v>Kai Havertz</v>
      </c>
      <c r="E69" s="14">
        <v>7</v>
      </c>
      <c r="F69" s="14" t="str">
        <f>IFERROR(INDEX(Teams!$B$2:$B$49,MATCH($E69,Teams!$A$2:$A$49,0)),"")</f>
        <v>Germany</v>
      </c>
      <c r="G69" s="14" t="s">
        <v>287</v>
      </c>
      <c r="H69" s="14" t="s">
        <v>248</v>
      </c>
      <c r="I69" s="14" t="str">
        <f>IFERROR(INDEX(Matches!$C$2:$C$105,MATCH($B69,Matches!$A$2:$A$105,0)),"")</f>
        <v>First Stage</v>
      </c>
    </row>
    <row r="70" spans="1:9" x14ac:dyDescent="0.3">
      <c r="A70" s="14">
        <v>69</v>
      </c>
      <c r="B70" s="14">
        <v>10</v>
      </c>
      <c r="C70" s="14">
        <v>504</v>
      </c>
      <c r="D70" s="14" t="str">
        <f>IFERROR(INDEX(Players!$B$2:$B$1249,MATCH($C70,Players!$A$2:$A$1249,0)),"")</f>
        <v>Jamal Musiala</v>
      </c>
      <c r="E70" s="14">
        <v>7</v>
      </c>
      <c r="F70" s="14" t="str">
        <f>IFERROR(INDEX(Teams!$B$2:$B$49,MATCH($E70,Teams!$A$2:$A$49,0)),"")</f>
        <v>Germany</v>
      </c>
      <c r="G70" s="14" t="s">
        <v>295</v>
      </c>
      <c r="H70" s="14"/>
      <c r="I70" s="14" t="str">
        <f>IFERROR(INDEX(Matches!$C$2:$C$105,MATCH($B70,Matches!$A$2:$A$105,0)),"")</f>
        <v>First Stage</v>
      </c>
    </row>
    <row r="71" spans="1:9" x14ac:dyDescent="0.3">
      <c r="A71" s="14">
        <v>70</v>
      </c>
      <c r="B71" s="14">
        <v>10</v>
      </c>
      <c r="C71" s="14">
        <v>512</v>
      </c>
      <c r="D71" s="14" t="str">
        <f>IFERROR(INDEX(Players!$B$2:$B$1249,MATCH($C71,Players!$A$2:$A$1249,0)),"")</f>
        <v>Nathaniel Brown</v>
      </c>
      <c r="E71" s="14">
        <v>7</v>
      </c>
      <c r="F71" s="14" t="str">
        <f>IFERROR(INDEX(Teams!$B$2:$B$49,MATCH($E71,Teams!$A$2:$A$49,0)),"")</f>
        <v>Germany</v>
      </c>
      <c r="G71" s="14" t="s">
        <v>296</v>
      </c>
      <c r="H71" s="14"/>
      <c r="I71" s="14" t="str">
        <f>IFERROR(INDEX(Matches!$C$2:$C$105,MATCH($B71,Matches!$A$2:$A$105,0)),"")</f>
        <v>First Stage</v>
      </c>
    </row>
    <row r="72" spans="1:9" x14ac:dyDescent="0.3">
      <c r="A72" s="14">
        <v>71</v>
      </c>
      <c r="B72" s="14">
        <v>10</v>
      </c>
      <c r="C72" s="14">
        <v>520</v>
      </c>
      <c r="D72" s="14" t="str">
        <f>IFERROR(INDEX(Players!$B$2:$B$1249,MATCH($C72,Players!$A$2:$A$1249,0)),"")</f>
        <v>Deniz Undav</v>
      </c>
      <c r="E72" s="14">
        <v>7</v>
      </c>
      <c r="F72" s="14" t="str">
        <f>IFERROR(INDEX(Teams!$B$2:$B$49,MATCH($E72,Teams!$A$2:$A$49,0)),"")</f>
        <v>Germany</v>
      </c>
      <c r="G72" s="14" t="s">
        <v>254</v>
      </c>
      <c r="H72" s="14"/>
      <c r="I72" s="14" t="str">
        <f>IFERROR(INDEX(Matches!$C$2:$C$105,MATCH($B72,Matches!$A$2:$A$105,0)),"")</f>
        <v>First Stage</v>
      </c>
    </row>
    <row r="73" spans="1:9" x14ac:dyDescent="0.3">
      <c r="A73" s="14">
        <v>72</v>
      </c>
      <c r="B73" s="14">
        <v>10</v>
      </c>
      <c r="C73" s="14">
        <v>501</v>
      </c>
      <c r="D73" s="14" t="str">
        <f>IFERROR(INDEX(Players!$B$2:$B$1249,MATCH($C73,Players!$A$2:$A$1249,0)),"")</f>
        <v>Kai Havertz</v>
      </c>
      <c r="E73" s="14">
        <v>7</v>
      </c>
      <c r="F73" s="14" t="str">
        <f>IFERROR(INDEX(Teams!$B$2:$B$49,MATCH($E73,Teams!$A$2:$A$49,0)),"")</f>
        <v>Germany</v>
      </c>
      <c r="G73" s="14" t="s">
        <v>297</v>
      </c>
      <c r="H73" s="14"/>
      <c r="I73" s="14" t="str">
        <f>IFERROR(INDEX(Matches!$C$2:$C$105,MATCH($B73,Matches!$A$2:$A$105,0)),"")</f>
        <v>First Stage</v>
      </c>
    </row>
    <row r="74" spans="1:9" x14ac:dyDescent="0.3">
      <c r="A74" s="14">
        <v>73</v>
      </c>
      <c r="B74" s="14">
        <v>10</v>
      </c>
      <c r="C74" s="14">
        <v>346</v>
      </c>
      <c r="D74" s="14" t="str">
        <f>IFERROR(INDEX(Players!$B$2:$B$1249,MATCH($C74,Players!$A$2:$A$1249,0)),"")</f>
        <v>Livano Comenencia</v>
      </c>
      <c r="E74" s="14">
        <v>37</v>
      </c>
      <c r="F74" s="14" t="str">
        <f>IFERROR(INDEX(Teams!$B$2:$B$49,MATCH($E74,Teams!$A$2:$A$49,0)),"")</f>
        <v>Curaçao</v>
      </c>
      <c r="G74" s="14" t="s">
        <v>255</v>
      </c>
      <c r="H74" s="14"/>
      <c r="I74" s="14" t="str">
        <f>IFERROR(INDEX(Matches!$C$2:$C$105,MATCH($B74,Matches!$A$2:$A$105,0)),"")</f>
        <v>First Stage</v>
      </c>
    </row>
    <row r="75" spans="1:9" x14ac:dyDescent="0.3">
      <c r="A75" s="14">
        <v>74</v>
      </c>
      <c r="B75" s="14">
        <v>9</v>
      </c>
      <c r="C75" s="14">
        <v>301</v>
      </c>
      <c r="D75" s="14" t="str">
        <f>IFERROR(INDEX(Players!$B$2:$B$1249,MATCH($C75,Players!$A$2:$A$1249,0)),"")</f>
        <v>Amad Diallo</v>
      </c>
      <c r="E75" s="14">
        <v>17</v>
      </c>
      <c r="F75" s="14" t="str">
        <f>IFERROR(INDEX(Teams!$B$2:$B$49,MATCH($E75,Teams!$A$2:$A$49,0)),"")</f>
        <v>Côte d'Ivoire</v>
      </c>
      <c r="G75" s="14" t="s">
        <v>260</v>
      </c>
      <c r="H75" s="14"/>
      <c r="I75" s="14" t="str">
        <f>IFERROR(INDEX(Matches!$C$2:$C$105,MATCH($B75,Matches!$A$2:$A$105,0)),"")</f>
        <v>First Stage</v>
      </c>
    </row>
    <row r="76" spans="1:9" x14ac:dyDescent="0.3">
      <c r="A76" s="14">
        <v>75</v>
      </c>
      <c r="B76" s="14">
        <v>33</v>
      </c>
      <c r="C76" s="14">
        <v>520</v>
      </c>
      <c r="D76" s="14" t="str">
        <f>IFERROR(INDEX(Players!$B$2:$B$1249,MATCH($C76,Players!$A$2:$A$1249,0)),"")</f>
        <v>Deniz Undav</v>
      </c>
      <c r="E76" s="14">
        <v>7</v>
      </c>
      <c r="F76" s="14" t="str">
        <f>IFERROR(INDEX(Teams!$B$2:$B$49,MATCH($E76,Teams!$A$2:$A$49,0)),"")</f>
        <v>Germany</v>
      </c>
      <c r="G76" s="14" t="s">
        <v>296</v>
      </c>
      <c r="H76" s="14"/>
      <c r="I76" s="14" t="str">
        <f>IFERROR(INDEX(Matches!$C$2:$C$105,MATCH($B76,Matches!$A$2:$A$105,0)),"")</f>
        <v>First Stage</v>
      </c>
    </row>
    <row r="77" spans="1:9" x14ac:dyDescent="0.3">
      <c r="A77" s="14">
        <v>76</v>
      </c>
      <c r="B77" s="14">
        <v>33</v>
      </c>
      <c r="C77" s="14">
        <v>520</v>
      </c>
      <c r="D77" s="14" t="str">
        <f>IFERROR(INDEX(Players!$B$2:$B$1249,MATCH($C77,Players!$A$2:$A$1249,0)),"")</f>
        <v>Deniz Undav</v>
      </c>
      <c r="E77" s="14">
        <v>7</v>
      </c>
      <c r="F77" s="14" t="str">
        <f>IFERROR(INDEX(Teams!$B$2:$B$49,MATCH($E77,Teams!$A$2:$A$49,0)),"")</f>
        <v>Germany</v>
      </c>
      <c r="G77" s="14" t="s">
        <v>252</v>
      </c>
      <c r="H77" s="14"/>
      <c r="I77" s="14" t="str">
        <f>IFERROR(INDEX(Matches!$C$2:$C$105,MATCH($B77,Matches!$A$2:$A$105,0)),"")</f>
        <v>First Stage</v>
      </c>
    </row>
    <row r="78" spans="1:9" x14ac:dyDescent="0.3">
      <c r="A78" s="14">
        <v>77</v>
      </c>
      <c r="B78" s="14">
        <v>33</v>
      </c>
      <c r="C78" s="14">
        <v>294</v>
      </c>
      <c r="D78" s="14" t="str">
        <f>IFERROR(INDEX(Players!$B$2:$B$1249,MATCH($C78,Players!$A$2:$A$1249,0)),"")</f>
        <v>Franck Kessie</v>
      </c>
      <c r="E78" s="14">
        <v>17</v>
      </c>
      <c r="F78" s="14" t="str">
        <f>IFERROR(INDEX(Teams!$B$2:$B$49,MATCH($E78,Teams!$A$2:$A$49,0)),"")</f>
        <v>Côte d'Ivoire</v>
      </c>
      <c r="G78" s="14" t="s">
        <v>298</v>
      </c>
      <c r="H78" s="14"/>
      <c r="I78" s="14" t="str">
        <f>IFERROR(INDEX(Matches!$C$2:$C$105,MATCH($B78,Matches!$A$2:$A$105,0)),"")</f>
        <v>First Stage</v>
      </c>
    </row>
    <row r="79" spans="1:9" x14ac:dyDescent="0.3">
      <c r="A79" s="14">
        <v>78</v>
      </c>
      <c r="B79" s="14">
        <v>55</v>
      </c>
      <c r="C79" s="14">
        <v>305</v>
      </c>
      <c r="D79" s="14" t="str">
        <f>IFERROR(INDEX(Players!$B$2:$B$1249,MATCH($C79,Players!$A$2:$A$1249,0)),"")</f>
        <v>Nicolas Pepe</v>
      </c>
      <c r="E79" s="14">
        <v>17</v>
      </c>
      <c r="F79" s="14" t="str">
        <f>IFERROR(INDEX(Teams!$B$2:$B$49,MATCH($E79,Teams!$A$2:$A$49,0)),"")</f>
        <v>Côte d'Ivoire</v>
      </c>
      <c r="G79" s="14" t="s">
        <v>279</v>
      </c>
      <c r="H79" s="14"/>
      <c r="I79" s="14" t="str">
        <f>IFERROR(INDEX(Matches!$C$2:$C$105,MATCH($B79,Matches!$A$2:$A$105,0)),"")</f>
        <v>First Stage</v>
      </c>
    </row>
    <row r="80" spans="1:9" x14ac:dyDescent="0.3">
      <c r="A80" s="14">
        <v>79</v>
      </c>
      <c r="B80" s="14">
        <v>55</v>
      </c>
      <c r="C80" s="14">
        <v>305</v>
      </c>
      <c r="D80" s="14" t="str">
        <f>IFERROR(INDEX(Players!$B$2:$B$1249,MATCH($C80,Players!$A$2:$A$1249,0)),"")</f>
        <v>Nicolas Pepe</v>
      </c>
      <c r="E80" s="14">
        <v>17</v>
      </c>
      <c r="F80" s="14" t="str">
        <f>IFERROR(INDEX(Teams!$B$2:$B$49,MATCH($E80,Teams!$A$2:$A$49,0)),"")</f>
        <v>Côte d'Ivoire</v>
      </c>
      <c r="G80" s="14" t="s">
        <v>266</v>
      </c>
      <c r="H80" s="14"/>
      <c r="I80" s="14" t="str">
        <f>IFERROR(INDEX(Matches!$C$2:$C$105,MATCH($B80,Matches!$A$2:$A$105,0)),"")</f>
        <v>First Stage</v>
      </c>
    </row>
    <row r="81" spans="1:9" x14ac:dyDescent="0.3">
      <c r="A81" s="14">
        <v>80</v>
      </c>
      <c r="B81" s="14">
        <v>56</v>
      </c>
      <c r="C81" s="14">
        <v>410</v>
      </c>
      <c r="D81" s="14" t="str">
        <f>IFERROR(INDEX(Players!$B$2:$B$1249,MATCH($C81,Players!$A$2:$A$1249,0)),"")</f>
        <v>Nilson Angulo</v>
      </c>
      <c r="E81" s="14">
        <v>28</v>
      </c>
      <c r="F81" s="14" t="str">
        <f>IFERROR(INDEX(Teams!$B$2:$B$49,MATCH($E81,Teams!$A$2:$A$49,0)),"")</f>
        <v>Ecuador</v>
      </c>
      <c r="G81" s="14" t="s">
        <v>242</v>
      </c>
      <c r="H81" s="14"/>
      <c r="I81" s="14" t="str">
        <f>IFERROR(INDEX(Matches!$C$2:$C$105,MATCH($B81,Matches!$A$2:$A$105,0)),"")</f>
        <v>First Stage</v>
      </c>
    </row>
    <row r="82" spans="1:9" x14ac:dyDescent="0.3">
      <c r="A82" s="14">
        <v>81</v>
      </c>
      <c r="B82" s="14">
        <v>56</v>
      </c>
      <c r="C82" s="14">
        <v>409</v>
      </c>
      <c r="D82" s="14" t="str">
        <f>IFERROR(INDEX(Players!$B$2:$B$1249,MATCH($C82,Players!$A$2:$A$1249,0)),"")</f>
        <v>Gonzalo Plata</v>
      </c>
      <c r="E82" s="14">
        <v>28</v>
      </c>
      <c r="F82" s="14" t="str">
        <f>IFERROR(INDEX(Teams!$B$2:$B$49,MATCH($E82,Teams!$A$2:$A$49,0)),"")</f>
        <v>Ecuador</v>
      </c>
      <c r="G82" s="14" t="s">
        <v>299</v>
      </c>
      <c r="H82" s="14"/>
      <c r="I82" s="14" t="str">
        <f>IFERROR(INDEX(Matches!$C$2:$C$105,MATCH($B82,Matches!$A$2:$A$105,0)),"")</f>
        <v>First Stage</v>
      </c>
    </row>
    <row r="83" spans="1:9" x14ac:dyDescent="0.3">
      <c r="A83" s="14">
        <v>82</v>
      </c>
      <c r="B83" s="14">
        <v>56</v>
      </c>
      <c r="C83" s="14">
        <v>513</v>
      </c>
      <c r="D83" s="14" t="str">
        <f>IFERROR(INDEX(Players!$B$2:$B$1249,MATCH($C83,Players!$A$2:$A$1249,0)),"")</f>
        <v>Leroy Sane</v>
      </c>
      <c r="E83" s="14">
        <v>7</v>
      </c>
      <c r="F83" s="14" t="str">
        <f>IFERROR(INDEX(Teams!$B$2:$B$49,MATCH($E83,Teams!$A$2:$A$49,0)),"")</f>
        <v>Germany</v>
      </c>
      <c r="G83" s="14" t="s">
        <v>276</v>
      </c>
      <c r="H83" s="14"/>
      <c r="I83" s="14" t="str">
        <f>IFERROR(INDEX(Matches!$C$2:$C$105,MATCH($B83,Matches!$A$2:$A$105,0)),"")</f>
        <v>First Stage</v>
      </c>
    </row>
    <row r="84" spans="1:9" x14ac:dyDescent="0.3">
      <c r="A84" s="14">
        <v>83</v>
      </c>
      <c r="B84" s="14">
        <v>11</v>
      </c>
      <c r="C84" s="14">
        <v>758</v>
      </c>
      <c r="D84" s="14" t="str">
        <f>IFERROR(INDEX(Players!$B$2:$B$1249,MATCH($C84,Players!$A$2:$A$1249,0)),"")</f>
        <v>Virgil Van Dijk</v>
      </c>
      <c r="E84" s="14">
        <v>9</v>
      </c>
      <c r="F84" s="14" t="str">
        <f>IFERROR(INDEX(Teams!$B$2:$B$49,MATCH($E84,Teams!$A$2:$A$49,0)),"")</f>
        <v>Netherlands</v>
      </c>
      <c r="G84" s="14" t="s">
        <v>300</v>
      </c>
      <c r="H84" s="14"/>
      <c r="I84" s="14" t="str">
        <f>IFERROR(INDEX(Matches!$C$2:$C$105,MATCH($B84,Matches!$A$2:$A$105,0)),"")</f>
        <v>First Stage</v>
      </c>
    </row>
    <row r="85" spans="1:9" x14ac:dyDescent="0.3">
      <c r="A85" s="14">
        <v>84</v>
      </c>
      <c r="B85" s="14">
        <v>11</v>
      </c>
      <c r="C85" s="14">
        <v>778</v>
      </c>
      <c r="D85" s="14" t="str">
        <f>IFERROR(INDEX(Players!$B$2:$B$1249,MATCH($C85,Players!$A$2:$A$1249,0)),"")</f>
        <v>Crysencio Summerville</v>
      </c>
      <c r="E85" s="14">
        <v>9</v>
      </c>
      <c r="F85" s="14" t="str">
        <f>IFERROR(INDEX(Teams!$B$2:$B$49,MATCH($E85,Teams!$A$2:$A$49,0)),"")</f>
        <v>Netherlands</v>
      </c>
      <c r="G85" s="14" t="s">
        <v>266</v>
      </c>
      <c r="H85" s="14"/>
      <c r="I85" s="14" t="str">
        <f>IFERROR(INDEX(Matches!$C$2:$C$105,MATCH($B85,Matches!$A$2:$A$105,0)),"")</f>
        <v>First Stage</v>
      </c>
    </row>
    <row r="86" spans="1:9" x14ac:dyDescent="0.3">
      <c r="A86" s="14">
        <v>85</v>
      </c>
      <c r="B86" s="14">
        <v>11</v>
      </c>
      <c r="C86" s="14">
        <v>637</v>
      </c>
      <c r="D86" s="14" t="str">
        <f>IFERROR(INDEX(Players!$B$2:$B$1249,MATCH($C86,Players!$A$2:$A$1249,0)),"")</f>
        <v>Keito Nakamura</v>
      </c>
      <c r="E86" s="14">
        <v>20</v>
      </c>
      <c r="F86" s="14" t="str">
        <f>IFERROR(INDEX(Teams!$B$2:$B$49,MATCH($E86,Teams!$A$2:$A$49,0)),"")</f>
        <v>Japan</v>
      </c>
      <c r="G86" s="14" t="s">
        <v>270</v>
      </c>
      <c r="H86" s="14"/>
      <c r="I86" s="14" t="str">
        <f>IFERROR(INDEX(Matches!$C$2:$C$105,MATCH($B86,Matches!$A$2:$A$105,0)),"")</f>
        <v>First Stage</v>
      </c>
    </row>
    <row r="87" spans="1:9" x14ac:dyDescent="0.3">
      <c r="A87" s="14">
        <v>86</v>
      </c>
      <c r="B87" s="14">
        <v>11</v>
      </c>
      <c r="C87" s="14">
        <v>639</v>
      </c>
      <c r="D87" s="14" t="str">
        <f>IFERROR(INDEX(Players!$B$2:$B$1249,MATCH($C87,Players!$A$2:$A$1249,0)),"")</f>
        <v>Daichi Kamada</v>
      </c>
      <c r="E87" s="14">
        <v>20</v>
      </c>
      <c r="F87" s="14" t="str">
        <f>IFERROR(INDEX(Teams!$B$2:$B$49,MATCH($E87,Teams!$A$2:$A$49,0)),"")</f>
        <v>Japan</v>
      </c>
      <c r="G87" s="14" t="s">
        <v>297</v>
      </c>
      <c r="H87" s="14"/>
      <c r="I87" s="14" t="str">
        <f>IFERROR(INDEX(Matches!$C$2:$C$105,MATCH($B87,Matches!$A$2:$A$105,0)),"")</f>
        <v>First Stage</v>
      </c>
    </row>
    <row r="88" spans="1:9" x14ac:dyDescent="0.3">
      <c r="A88" s="14">
        <v>87</v>
      </c>
      <c r="B88" s="14">
        <v>12</v>
      </c>
      <c r="C88" s="14">
        <v>1084</v>
      </c>
      <c r="D88" s="14" t="str">
        <f>IFERROR(INDEX(Players!$B$2:$B$1249,MATCH($C88,Players!$A$2:$A$1249,0)),"")</f>
        <v>Yasin Ayari</v>
      </c>
      <c r="E88" s="14">
        <v>35</v>
      </c>
      <c r="F88" s="14" t="str">
        <f>IFERROR(INDEX(Teams!$B$2:$B$49,MATCH($E88,Teams!$A$2:$A$49,0)),"")</f>
        <v>Sweden</v>
      </c>
      <c r="G88" s="14" t="s">
        <v>279</v>
      </c>
      <c r="H88" s="14"/>
      <c r="I88" s="14" t="str">
        <f>IFERROR(INDEX(Matches!$C$2:$C$105,MATCH($B88,Matches!$A$2:$A$105,0)),"")</f>
        <v>First Stage</v>
      </c>
    </row>
    <row r="89" spans="1:9" x14ac:dyDescent="0.3">
      <c r="A89" s="14">
        <v>88</v>
      </c>
      <c r="B89" s="14">
        <v>12</v>
      </c>
      <c r="C89" s="14">
        <v>1075</v>
      </c>
      <c r="D89" s="14" t="str">
        <f>IFERROR(INDEX(Players!$B$2:$B$1249,MATCH($C89,Players!$A$2:$A$1249,0)),"")</f>
        <v>Alexander Isak</v>
      </c>
      <c r="E89" s="14">
        <v>35</v>
      </c>
      <c r="F89" s="14" t="str">
        <f>IFERROR(INDEX(Teams!$B$2:$B$49,MATCH($E89,Teams!$A$2:$A$49,0)),"")</f>
        <v>Sweden</v>
      </c>
      <c r="G89" s="14" t="s">
        <v>298</v>
      </c>
      <c r="H89" s="14"/>
      <c r="I89" s="14" t="str">
        <f>IFERROR(INDEX(Matches!$C$2:$C$105,MATCH($B89,Matches!$A$2:$A$105,0)),"")</f>
        <v>First Stage</v>
      </c>
    </row>
    <row r="90" spans="1:9" x14ac:dyDescent="0.3">
      <c r="A90" s="14">
        <v>89</v>
      </c>
      <c r="B90" s="14">
        <v>12</v>
      </c>
      <c r="C90" s="14">
        <v>1083</v>
      </c>
      <c r="D90" s="14" t="str">
        <f>IFERROR(INDEX(Players!$B$2:$B$1249,MATCH($C90,Players!$A$2:$A$1249,0)),"")</f>
        <v>Viktor Gyokeres</v>
      </c>
      <c r="E90" s="14">
        <v>35</v>
      </c>
      <c r="F90" s="14" t="str">
        <f>IFERROR(INDEX(Teams!$B$2:$B$49,MATCH($E90,Teams!$A$2:$A$49,0)),"")</f>
        <v>Sweden</v>
      </c>
      <c r="G90" s="14" t="s">
        <v>245</v>
      </c>
      <c r="H90" s="14"/>
      <c r="I90" s="14" t="str">
        <f>IFERROR(INDEX(Matches!$C$2:$C$105,MATCH($B90,Matches!$A$2:$A$105,0)),"")</f>
        <v>First Stage</v>
      </c>
    </row>
    <row r="91" spans="1:9" x14ac:dyDescent="0.3">
      <c r="A91" s="14">
        <v>90</v>
      </c>
      <c r="B91" s="14">
        <v>12</v>
      </c>
      <c r="C91" s="14">
        <v>1085</v>
      </c>
      <c r="D91" s="14" t="str">
        <f>IFERROR(INDEX(Players!$B$2:$B$1249,MATCH($C91,Players!$A$2:$A$1249,0)),"")</f>
        <v>Mattias Svanberg</v>
      </c>
      <c r="E91" s="14">
        <v>35</v>
      </c>
      <c r="F91" s="14" t="str">
        <f>IFERROR(INDEX(Teams!$B$2:$B$49,MATCH($E91,Teams!$A$2:$A$49,0)),"")</f>
        <v>Sweden</v>
      </c>
      <c r="G91" s="14" t="s">
        <v>259</v>
      </c>
      <c r="H91" s="14"/>
      <c r="I91" s="14" t="str">
        <f>IFERROR(INDEX(Matches!$C$2:$C$105,MATCH($B91,Matches!$A$2:$A$105,0)),"")</f>
        <v>First Stage</v>
      </c>
    </row>
    <row r="92" spans="1:9" x14ac:dyDescent="0.3">
      <c r="A92" s="14">
        <v>91</v>
      </c>
      <c r="B92" s="14">
        <v>12</v>
      </c>
      <c r="C92" s="14">
        <v>1084</v>
      </c>
      <c r="D92" s="14" t="str">
        <f>IFERROR(INDEX(Players!$B$2:$B$1249,MATCH($C92,Players!$A$2:$A$1249,0)),"")</f>
        <v>Yasin Ayari</v>
      </c>
      <c r="E92" s="14">
        <v>35</v>
      </c>
      <c r="F92" s="14" t="str">
        <f>IFERROR(INDEX(Teams!$B$2:$B$49,MATCH($E92,Teams!$A$2:$A$49,0)),"")</f>
        <v>Sweden</v>
      </c>
      <c r="G92" s="14" t="s">
        <v>301</v>
      </c>
      <c r="H92" s="14"/>
      <c r="I92" s="14" t="str">
        <f>IFERROR(INDEX(Matches!$C$2:$C$105,MATCH($B92,Matches!$A$2:$A$105,0)),"")</f>
        <v>First Stage</v>
      </c>
    </row>
    <row r="93" spans="1:9" x14ac:dyDescent="0.3">
      <c r="A93" s="14">
        <v>92</v>
      </c>
      <c r="B93" s="14">
        <v>12</v>
      </c>
      <c r="C93" s="14">
        <v>1122</v>
      </c>
      <c r="D93" s="14" t="str">
        <f>IFERROR(INDEX(Players!$B$2:$B$1249,MATCH($C93,Players!$A$2:$A$1249,0)),"")</f>
        <v>Omar Rekik</v>
      </c>
      <c r="E93" s="14">
        <v>46</v>
      </c>
      <c r="F93" s="14" t="str">
        <f>IFERROR(INDEX(Teams!$B$2:$B$49,MATCH($E93,Teams!$A$2:$A$49,0)),"")</f>
        <v>Tunisia</v>
      </c>
      <c r="G93" s="14" t="s">
        <v>285</v>
      </c>
      <c r="H93" s="14"/>
      <c r="I93" s="14" t="str">
        <f>IFERROR(INDEX(Matches!$C$2:$C$105,MATCH($B93,Matches!$A$2:$A$105,0)),"")</f>
        <v>First Stage</v>
      </c>
    </row>
    <row r="94" spans="1:9" x14ac:dyDescent="0.3">
      <c r="A94" s="14">
        <v>93</v>
      </c>
      <c r="B94" s="14">
        <v>35</v>
      </c>
      <c r="C94" s="14">
        <v>773</v>
      </c>
      <c r="D94" s="14" t="str">
        <f>IFERROR(INDEX(Players!$B$2:$B$1249,MATCH($C94,Players!$A$2:$A$1249,0)),"")</f>
        <v>Brian Brobbey</v>
      </c>
      <c r="E94" s="14">
        <v>9</v>
      </c>
      <c r="F94" s="14" t="str">
        <f>IFERROR(INDEX(Teams!$B$2:$B$49,MATCH($E94,Teams!$A$2:$A$49,0)),"")</f>
        <v>Netherlands</v>
      </c>
      <c r="G94" s="14" t="s">
        <v>302</v>
      </c>
      <c r="H94" s="14"/>
      <c r="I94" s="14" t="str">
        <f>IFERROR(INDEX(Matches!$C$2:$C$105,MATCH($B94,Matches!$A$2:$A$105,0)),"")</f>
        <v>First Stage</v>
      </c>
    </row>
    <row r="95" spans="1:9" x14ac:dyDescent="0.3">
      <c r="A95" s="14">
        <v>94</v>
      </c>
      <c r="B95" s="14">
        <v>35</v>
      </c>
      <c r="C95" s="14">
        <v>773</v>
      </c>
      <c r="D95" s="14" t="str">
        <f>IFERROR(INDEX(Players!$B$2:$B$1249,MATCH($C95,Players!$A$2:$A$1249,0)),"")</f>
        <v>Brian Brobbey</v>
      </c>
      <c r="E95" s="14">
        <v>9</v>
      </c>
      <c r="F95" s="14" t="str">
        <f>IFERROR(INDEX(Teams!$B$2:$B$49,MATCH($E95,Teams!$A$2:$A$49,0)),"")</f>
        <v>Netherlands</v>
      </c>
      <c r="G95" s="14" t="s">
        <v>257</v>
      </c>
      <c r="H95" s="14"/>
      <c r="I95" s="14" t="str">
        <f>IFERROR(INDEX(Matches!$C$2:$C$105,MATCH($B95,Matches!$A$2:$A$105,0)),"")</f>
        <v>First Stage</v>
      </c>
    </row>
    <row r="96" spans="1:9" x14ac:dyDescent="0.3">
      <c r="A96" s="14">
        <v>95</v>
      </c>
      <c r="B96" s="14">
        <v>35</v>
      </c>
      <c r="C96" s="14">
        <v>765</v>
      </c>
      <c r="D96" s="14" t="str">
        <f>IFERROR(INDEX(Players!$B$2:$B$1249,MATCH($C96,Players!$A$2:$A$1249,0)),"")</f>
        <v>Cody Gakpo</v>
      </c>
      <c r="E96" s="14">
        <v>9</v>
      </c>
      <c r="F96" s="14" t="str">
        <f>IFERROR(INDEX(Teams!$B$2:$B$49,MATCH($E96,Teams!$A$2:$A$49,0)),"")</f>
        <v>Netherlands</v>
      </c>
      <c r="G96" s="14" t="s">
        <v>295</v>
      </c>
      <c r="H96" s="14"/>
      <c r="I96" s="14" t="str">
        <f>IFERROR(INDEX(Matches!$C$2:$C$105,MATCH($B96,Matches!$A$2:$A$105,0)),"")</f>
        <v>First Stage</v>
      </c>
    </row>
    <row r="97" spans="1:9" x14ac:dyDescent="0.3">
      <c r="A97" s="14">
        <v>96</v>
      </c>
      <c r="B97" s="14">
        <v>35</v>
      </c>
      <c r="C97" s="14">
        <v>765</v>
      </c>
      <c r="D97" s="14" t="str">
        <f>IFERROR(INDEX(Players!$B$2:$B$1249,MATCH($C97,Players!$A$2:$A$1249,0)),"")</f>
        <v>Cody Gakpo</v>
      </c>
      <c r="E97" s="14">
        <v>9</v>
      </c>
      <c r="F97" s="14" t="str">
        <f>IFERROR(INDEX(Teams!$B$2:$B$49,MATCH($E97,Teams!$A$2:$A$49,0)),"")</f>
        <v>Netherlands</v>
      </c>
      <c r="G97" s="14" t="s">
        <v>303</v>
      </c>
      <c r="H97" s="14"/>
      <c r="I97" s="14" t="str">
        <f>IFERROR(INDEX(Matches!$C$2:$C$105,MATCH($B97,Matches!$A$2:$A$105,0)),"")</f>
        <v>First Stage</v>
      </c>
    </row>
    <row r="98" spans="1:9" x14ac:dyDescent="0.3">
      <c r="A98" s="14">
        <v>97</v>
      </c>
      <c r="B98" s="14">
        <v>35</v>
      </c>
      <c r="C98" s="14">
        <v>778</v>
      </c>
      <c r="D98" s="14" t="str">
        <f>IFERROR(INDEX(Players!$B$2:$B$1249,MATCH($C98,Players!$A$2:$A$1249,0)),"")</f>
        <v>Crysencio Summerville</v>
      </c>
      <c r="E98" s="14">
        <v>9</v>
      </c>
      <c r="F98" s="14" t="str">
        <f>IFERROR(INDEX(Teams!$B$2:$B$49,MATCH($E98,Teams!$A$2:$A$49,0)),"")</f>
        <v>Netherlands</v>
      </c>
      <c r="G98" s="14" t="s">
        <v>283</v>
      </c>
      <c r="H98" s="14"/>
      <c r="I98" s="14" t="str">
        <f>IFERROR(INDEX(Matches!$C$2:$C$105,MATCH($B98,Matches!$A$2:$A$105,0)),"")</f>
        <v>First Stage</v>
      </c>
    </row>
    <row r="99" spans="1:9" x14ac:dyDescent="0.3">
      <c r="A99" s="14">
        <v>98</v>
      </c>
      <c r="B99" s="14">
        <v>35</v>
      </c>
      <c r="C99" s="14">
        <v>1077</v>
      </c>
      <c r="D99" s="14" t="str">
        <f>IFERROR(INDEX(Players!$B$2:$B$1249,MATCH($C99,Players!$A$2:$A$1249,0)),"")</f>
        <v>Anthony Elanga</v>
      </c>
      <c r="E99" s="14">
        <v>35</v>
      </c>
      <c r="F99" s="14" t="str">
        <f>IFERROR(INDEX(Teams!$B$2:$B$49,MATCH($E99,Teams!$A$2:$A$49,0)),"")</f>
        <v>Sweden</v>
      </c>
      <c r="G99" s="14" t="s">
        <v>245</v>
      </c>
      <c r="H99" s="14"/>
      <c r="I99" s="14" t="str">
        <f>IFERROR(INDEX(Matches!$C$2:$C$105,MATCH($B99,Matches!$A$2:$A$105,0)),"")</f>
        <v>First Stage</v>
      </c>
    </row>
    <row r="100" spans="1:9" x14ac:dyDescent="0.3">
      <c r="A100" s="14">
        <v>99</v>
      </c>
      <c r="B100" s="14">
        <v>36</v>
      </c>
      <c r="C100" s="14">
        <v>639</v>
      </c>
      <c r="D100" s="14" t="str">
        <f>IFERROR(INDEX(Players!$B$2:$B$1249,MATCH($C100,Players!$A$2:$A$1249,0)),"")</f>
        <v>Daichi Kamada</v>
      </c>
      <c r="E100" s="14">
        <v>20</v>
      </c>
      <c r="F100" s="14" t="str">
        <f>IFERROR(INDEX(Teams!$B$2:$B$49,MATCH($E100,Teams!$A$2:$A$49,0)),"")</f>
        <v>Japan</v>
      </c>
      <c r="G100" s="14" t="s">
        <v>304</v>
      </c>
      <c r="H100" s="14"/>
      <c r="I100" s="14" t="str">
        <f>IFERROR(INDEX(Matches!$C$2:$C$105,MATCH($B100,Matches!$A$2:$A$105,0)),"")</f>
        <v>First Stage</v>
      </c>
    </row>
    <row r="101" spans="1:9" x14ac:dyDescent="0.3">
      <c r="A101" s="14">
        <v>100</v>
      </c>
      <c r="B101" s="14">
        <v>36</v>
      </c>
      <c r="C101" s="14">
        <v>642</v>
      </c>
      <c r="D101" s="14" t="str">
        <f>IFERROR(INDEX(Players!$B$2:$B$1249,MATCH($C101,Players!$A$2:$A$1249,0)),"")</f>
        <v>Ayase Ueda</v>
      </c>
      <c r="E101" s="14">
        <v>20</v>
      </c>
      <c r="F101" s="14" t="str">
        <f>IFERROR(INDEX(Teams!$B$2:$B$49,MATCH($E101,Teams!$A$2:$A$49,0)),"")</f>
        <v>Japan</v>
      </c>
      <c r="G101" s="14" t="s">
        <v>286</v>
      </c>
      <c r="H101" s="14"/>
      <c r="I101" s="14" t="str">
        <f>IFERROR(INDEX(Matches!$C$2:$C$105,MATCH($B101,Matches!$A$2:$A$105,0)),"")</f>
        <v>First Stage</v>
      </c>
    </row>
    <row r="102" spans="1:9" x14ac:dyDescent="0.3">
      <c r="A102" s="14">
        <v>101</v>
      </c>
      <c r="B102" s="14">
        <v>36</v>
      </c>
      <c r="C102" s="14">
        <v>638</v>
      </c>
      <c r="D102" s="14" t="str">
        <f>IFERROR(INDEX(Players!$B$2:$B$1249,MATCH($C102,Players!$A$2:$A$1249,0)),"")</f>
        <v>Junya Ito</v>
      </c>
      <c r="E102" s="14">
        <v>20</v>
      </c>
      <c r="F102" s="14" t="str">
        <f>IFERROR(INDEX(Teams!$B$2:$B$49,MATCH($E102,Teams!$A$2:$A$49,0)),"")</f>
        <v>Japan</v>
      </c>
      <c r="G102" s="14" t="s">
        <v>305</v>
      </c>
      <c r="H102" s="14"/>
      <c r="I102" s="14" t="str">
        <f>IFERROR(INDEX(Matches!$C$2:$C$105,MATCH($B102,Matches!$A$2:$A$105,0)),"")</f>
        <v>First Stage</v>
      </c>
    </row>
    <row r="103" spans="1:9" x14ac:dyDescent="0.3">
      <c r="A103" s="14">
        <v>102</v>
      </c>
      <c r="B103" s="14">
        <v>36</v>
      </c>
      <c r="C103" s="14">
        <v>642</v>
      </c>
      <c r="D103" s="14" t="str">
        <f>IFERROR(INDEX(Players!$B$2:$B$1249,MATCH($C103,Players!$A$2:$A$1249,0)),"")</f>
        <v>Ayase Ueda</v>
      </c>
      <c r="E103" s="14">
        <v>20</v>
      </c>
      <c r="F103" s="14" t="str">
        <f>IFERROR(INDEX(Teams!$B$2:$B$49,MATCH($E103,Teams!$A$2:$A$49,0)),"")</f>
        <v>Japan</v>
      </c>
      <c r="G103" s="14" t="s">
        <v>247</v>
      </c>
      <c r="H103" s="14"/>
      <c r="I103" s="14" t="str">
        <f>IFERROR(INDEX(Matches!$C$2:$C$105,MATCH($B103,Matches!$A$2:$A$105,0)),"")</f>
        <v>First Stage</v>
      </c>
    </row>
    <row r="104" spans="1:9" x14ac:dyDescent="0.3">
      <c r="A104" s="14">
        <v>103</v>
      </c>
      <c r="B104" s="14">
        <v>57</v>
      </c>
      <c r="C104" s="14">
        <v>635</v>
      </c>
      <c r="D104" s="14" t="str">
        <f>IFERROR(INDEX(Players!$B$2:$B$1249,MATCH($C104,Players!$A$2:$A$1249,0)),"")</f>
        <v>Daizen Maeda</v>
      </c>
      <c r="E104" s="14">
        <v>20</v>
      </c>
      <c r="F104" s="14" t="str">
        <f>IFERROR(INDEX(Teams!$B$2:$B$49,MATCH($E104,Teams!$A$2:$A$49,0)),"")</f>
        <v>Japan</v>
      </c>
      <c r="G104" s="14" t="s">
        <v>306</v>
      </c>
      <c r="H104" s="14"/>
      <c r="I104" s="14" t="str">
        <f>IFERROR(INDEX(Matches!$C$2:$C$105,MATCH($B104,Matches!$A$2:$A$105,0)),"")</f>
        <v>First Stage</v>
      </c>
    </row>
    <row r="105" spans="1:9" x14ac:dyDescent="0.3">
      <c r="A105" s="14">
        <v>104</v>
      </c>
      <c r="B105" s="14">
        <v>57</v>
      </c>
      <c r="C105" s="14">
        <v>1077</v>
      </c>
      <c r="D105" s="14" t="str">
        <f>IFERROR(INDEX(Players!$B$2:$B$1249,MATCH($C105,Players!$A$2:$A$1249,0)),"")</f>
        <v>Anthony Elanga</v>
      </c>
      <c r="E105" s="14">
        <v>35</v>
      </c>
      <c r="F105" s="14" t="str">
        <f>IFERROR(INDEX(Teams!$B$2:$B$49,MATCH($E105,Teams!$A$2:$A$49,0)),"")</f>
        <v>Sweden</v>
      </c>
      <c r="G105" s="14" t="s">
        <v>307</v>
      </c>
      <c r="H105" s="14"/>
      <c r="I105" s="14" t="str">
        <f>IFERROR(INDEX(Matches!$C$2:$C$105,MATCH($B105,Matches!$A$2:$A$105,0)),"")</f>
        <v>First Stage</v>
      </c>
    </row>
    <row r="106" spans="1:9" x14ac:dyDescent="0.3">
      <c r="A106" s="14">
        <v>105</v>
      </c>
      <c r="B106" s="14">
        <v>58</v>
      </c>
      <c r="C106" s="14">
        <v>1127</v>
      </c>
      <c r="D106" s="14" t="str">
        <f>IFERROR(INDEX(Players!$B$2:$B$1249,MATCH($C106,Players!$A$2:$A$1249,0)),"")</f>
        <v>Hazem Mastouri</v>
      </c>
      <c r="E106" s="14">
        <v>46</v>
      </c>
      <c r="F106" s="14" t="str">
        <f>IFERROR(INDEX(Teams!$B$2:$B$49,MATCH($E106,Teams!$A$2:$A$49,0)),"")</f>
        <v>Tunisia</v>
      </c>
      <c r="G106" s="14" t="s">
        <v>303</v>
      </c>
      <c r="H106" s="14"/>
      <c r="I106" s="14" t="str">
        <f>IFERROR(INDEX(Matches!$C$2:$C$105,MATCH($B106,Matches!$A$2:$A$105,0)),"")</f>
        <v>First Stage</v>
      </c>
    </row>
    <row r="107" spans="1:9" x14ac:dyDescent="0.3">
      <c r="A107" s="14">
        <v>106</v>
      </c>
      <c r="B107" s="14">
        <v>58</v>
      </c>
      <c r="C107" s="14">
        <v>1135</v>
      </c>
      <c r="D107" s="14" t="str">
        <f>IFERROR(INDEX(Players!$B$2:$B$1249,MATCH($C107,Players!$A$2:$A$1249,0)),"")</f>
        <v>Ellyes Skhiri</v>
      </c>
      <c r="E107" s="14">
        <v>9</v>
      </c>
      <c r="F107" s="14" t="str">
        <f>IFERROR(INDEX(Teams!$B$2:$B$49,MATCH($E107,Teams!$A$2:$A$49,0)),"")</f>
        <v>Netherlands</v>
      </c>
      <c r="G107" s="14" t="s">
        <v>292</v>
      </c>
      <c r="H107" s="14" t="s">
        <v>256</v>
      </c>
      <c r="I107" s="14" t="str">
        <f>IFERROR(INDEX(Matches!$C$2:$C$105,MATCH($B107,Matches!$A$2:$A$105,0)),"")</f>
        <v>First Stage</v>
      </c>
    </row>
    <row r="108" spans="1:9" x14ac:dyDescent="0.3">
      <c r="A108" s="14">
        <v>107</v>
      </c>
      <c r="B108" s="14">
        <v>58</v>
      </c>
      <c r="C108" s="14">
        <v>773</v>
      </c>
      <c r="D108" s="14" t="str">
        <f>IFERROR(INDEX(Players!$B$2:$B$1249,MATCH($C108,Players!$A$2:$A$1249,0)),"")</f>
        <v>Brian Brobbey</v>
      </c>
      <c r="E108" s="14">
        <v>9</v>
      </c>
      <c r="F108" s="14" t="str">
        <f>IFERROR(INDEX(Teams!$B$2:$B$49,MATCH($E108,Teams!$A$2:$A$49,0)),"")</f>
        <v>Netherlands</v>
      </c>
      <c r="G108" s="14" t="s">
        <v>279</v>
      </c>
      <c r="H108" s="14"/>
      <c r="I108" s="14" t="str">
        <f>IFERROR(INDEX(Matches!$C$2:$C$105,MATCH($B108,Matches!$A$2:$A$105,0)),"")</f>
        <v>First Stage</v>
      </c>
    </row>
    <row r="109" spans="1:9" x14ac:dyDescent="0.3">
      <c r="A109" s="14">
        <v>108</v>
      </c>
      <c r="B109" s="14">
        <v>58</v>
      </c>
      <c r="C109" s="14">
        <v>760</v>
      </c>
      <c r="D109" s="14" t="str">
        <f>IFERROR(INDEX(Players!$B$2:$B$1249,MATCH($C109,Players!$A$2:$A$1249,0)),"")</f>
        <v>Jan Paul Van Hecke</v>
      </c>
      <c r="E109" s="14">
        <v>9</v>
      </c>
      <c r="F109" s="14" t="str">
        <f>IFERROR(INDEX(Teams!$B$2:$B$49,MATCH($E109,Teams!$A$2:$A$49,0)),"")</f>
        <v>Netherlands</v>
      </c>
      <c r="G109" s="14" t="s">
        <v>307</v>
      </c>
      <c r="H109" s="14"/>
      <c r="I109" s="14" t="str">
        <f>IFERROR(INDEX(Matches!$C$2:$C$105,MATCH($B109,Matches!$A$2:$A$105,0)),"")</f>
        <v>First Stage</v>
      </c>
    </row>
    <row r="110" spans="1:9" x14ac:dyDescent="0.3">
      <c r="A110" s="14">
        <v>109</v>
      </c>
      <c r="B110" s="14">
        <v>16</v>
      </c>
      <c r="C110" s="14">
        <v>419</v>
      </c>
      <c r="D110" s="14" t="str">
        <f>IFERROR(INDEX(Players!$B$2:$B$1249,MATCH($C110,Players!$A$2:$A$1249,0)),"")</f>
        <v>Mohamed Hany</v>
      </c>
      <c r="E110" s="14">
        <v>2</v>
      </c>
      <c r="F110" s="14" t="str">
        <f>IFERROR(INDEX(Teams!$B$2:$B$49,MATCH($E110,Teams!$A$2:$A$49,0)),"")</f>
        <v>Belgium</v>
      </c>
      <c r="G110" s="14" t="s">
        <v>308</v>
      </c>
      <c r="H110" s="14" t="s">
        <v>256</v>
      </c>
      <c r="I110" s="14" t="str">
        <f>IFERROR(INDEX(Matches!$C$2:$C$105,MATCH($B110,Matches!$A$2:$A$105,0)),"")</f>
        <v>First Stage</v>
      </c>
    </row>
    <row r="111" spans="1:9" x14ac:dyDescent="0.3">
      <c r="A111" s="14">
        <v>110</v>
      </c>
      <c r="B111" s="14">
        <v>16</v>
      </c>
      <c r="C111" s="14">
        <v>424</v>
      </c>
      <c r="D111" s="14" t="str">
        <f>IFERROR(INDEX(Players!$B$2:$B$1249,MATCH($C111,Players!$A$2:$A$1249,0)),"")</f>
        <v>Emam Ashour</v>
      </c>
      <c r="E111" s="14">
        <v>19</v>
      </c>
      <c r="F111" s="14" t="str">
        <f>IFERROR(INDEX(Teams!$B$2:$B$49,MATCH($E111,Teams!$A$2:$A$49,0)),"")</f>
        <v>Egypt</v>
      </c>
      <c r="G111" s="14" t="s">
        <v>309</v>
      </c>
      <c r="H111" s="14"/>
      <c r="I111" s="14" t="str">
        <f>IFERROR(INDEX(Matches!$C$2:$C$105,MATCH($B111,Matches!$A$2:$A$105,0)),"")</f>
        <v>First Stage</v>
      </c>
    </row>
    <row r="112" spans="1:9" x14ac:dyDescent="0.3">
      <c r="A112" s="14">
        <v>111</v>
      </c>
      <c r="B112" s="14">
        <v>15</v>
      </c>
      <c r="C112" s="14">
        <v>595</v>
      </c>
      <c r="D112" s="14" t="str">
        <f>IFERROR(INDEX(Players!$B$2:$B$1249,MATCH($C112,Players!$A$2:$A$1249,0)),"")</f>
        <v>Ramin Rezaeian</v>
      </c>
      <c r="E112" s="14">
        <v>30</v>
      </c>
      <c r="F112" s="14" t="str">
        <f>IFERROR(INDEX(Teams!$B$2:$B$49,MATCH($E112,Teams!$A$2:$A$49,0)),"")</f>
        <v>IR Iran</v>
      </c>
      <c r="G112" s="14" t="s">
        <v>274</v>
      </c>
      <c r="H112" s="14"/>
      <c r="I112" s="14" t="str">
        <f>IFERROR(INDEX(Matches!$C$2:$C$105,MATCH($B112,Matches!$A$2:$A$105,0)),"")</f>
        <v>First Stage</v>
      </c>
    </row>
    <row r="113" spans="1:9" x14ac:dyDescent="0.3">
      <c r="A113" s="14">
        <v>112</v>
      </c>
      <c r="B113" s="14">
        <v>15</v>
      </c>
      <c r="C113" s="14">
        <v>580</v>
      </c>
      <c r="D113" s="14" t="str">
        <f>IFERROR(INDEX(Players!$B$2:$B$1249,MATCH($C113,Players!$A$2:$A$1249,0)),"")</f>
        <v>Mohammad Mohebbi</v>
      </c>
      <c r="E113" s="14">
        <v>30</v>
      </c>
      <c r="F113" s="14" t="str">
        <f>IFERROR(INDEX(Teams!$B$2:$B$49,MATCH($E113,Teams!$A$2:$A$49,0)),"")</f>
        <v>IR Iran</v>
      </c>
      <c r="G113" s="14" t="s">
        <v>266</v>
      </c>
      <c r="H113" s="14"/>
      <c r="I113" s="14" t="str">
        <f>IFERROR(INDEX(Matches!$C$2:$C$105,MATCH($B113,Matches!$A$2:$A$105,0)),"")</f>
        <v>First Stage</v>
      </c>
    </row>
    <row r="114" spans="1:9" x14ac:dyDescent="0.3">
      <c r="A114" s="14">
        <v>113</v>
      </c>
      <c r="B114" s="14">
        <v>15</v>
      </c>
      <c r="C114" s="14">
        <v>791</v>
      </c>
      <c r="D114" s="14" t="str">
        <f>IFERROR(INDEX(Players!$B$2:$B$1249,MATCH($C114,Players!$A$2:$A$1249,0)),"")</f>
        <v>Elijah Just</v>
      </c>
      <c r="E114" s="14">
        <v>42</v>
      </c>
      <c r="F114" s="14" t="str">
        <f>IFERROR(INDEX(Teams!$B$2:$B$49,MATCH($E114,Teams!$A$2:$A$49,0)),"")</f>
        <v>New Zealand</v>
      </c>
      <c r="G114" s="14" t="s">
        <v>279</v>
      </c>
      <c r="H114" s="14"/>
      <c r="I114" s="14" t="str">
        <f>IFERROR(INDEX(Matches!$C$2:$C$105,MATCH($B114,Matches!$A$2:$A$105,0)),"")</f>
        <v>First Stage</v>
      </c>
    </row>
    <row r="115" spans="1:9" x14ac:dyDescent="0.3">
      <c r="A115" s="14">
        <v>114</v>
      </c>
      <c r="B115" s="14">
        <v>15</v>
      </c>
      <c r="C115" s="14">
        <v>791</v>
      </c>
      <c r="D115" s="14" t="str">
        <f>IFERROR(INDEX(Players!$B$2:$B$1249,MATCH($C115,Players!$A$2:$A$1249,0)),"")</f>
        <v>Elijah Just</v>
      </c>
      <c r="E115" s="14">
        <v>42</v>
      </c>
      <c r="F115" s="14" t="str">
        <f>IFERROR(INDEX(Teams!$B$2:$B$49,MATCH($E115,Teams!$A$2:$A$49,0)),"")</f>
        <v>New Zealand</v>
      </c>
      <c r="G115" s="14" t="s">
        <v>303</v>
      </c>
      <c r="H115" s="14"/>
      <c r="I115" s="14" t="str">
        <f>IFERROR(INDEX(Matches!$C$2:$C$105,MATCH($B115,Matches!$A$2:$A$105,0)),"")</f>
        <v>First Stage</v>
      </c>
    </row>
    <row r="116" spans="1:9" x14ac:dyDescent="0.3">
      <c r="A116" s="14">
        <v>115</v>
      </c>
      <c r="B116" s="14">
        <v>40</v>
      </c>
      <c r="C116" s="14">
        <v>796</v>
      </c>
      <c r="D116" s="14" t="str">
        <f>IFERROR(INDEX(Players!$B$2:$B$1249,MATCH($C116,Players!$A$2:$A$1249,0)),"")</f>
        <v>Finn Surman</v>
      </c>
      <c r="E116" s="14">
        <v>42</v>
      </c>
      <c r="F116" s="14" t="str">
        <f>IFERROR(INDEX(Teams!$B$2:$B$49,MATCH($E116,Teams!$A$2:$A$49,0)),"")</f>
        <v>New Zealand</v>
      </c>
      <c r="G116" s="14" t="s">
        <v>310</v>
      </c>
      <c r="H116" s="14"/>
      <c r="I116" s="14" t="str">
        <f>IFERROR(INDEX(Matches!$C$2:$C$105,MATCH($B116,Matches!$A$2:$A$105,0)),"")</f>
        <v>First Stage</v>
      </c>
    </row>
    <row r="117" spans="1:9" x14ac:dyDescent="0.3">
      <c r="A117" s="14">
        <v>116</v>
      </c>
      <c r="B117" s="14">
        <v>40</v>
      </c>
      <c r="C117" s="14">
        <v>427</v>
      </c>
      <c r="D117" s="14" t="str">
        <f>IFERROR(INDEX(Players!$B$2:$B$1249,MATCH($C117,Players!$A$2:$A$1249,0)),"")</f>
        <v>Mostafa Zico</v>
      </c>
      <c r="E117" s="14">
        <v>19</v>
      </c>
      <c r="F117" s="14" t="str">
        <f>IFERROR(INDEX(Teams!$B$2:$B$49,MATCH($E117,Teams!$A$2:$A$49,0)),"")</f>
        <v>Egypt</v>
      </c>
      <c r="G117" s="14" t="s">
        <v>311</v>
      </c>
      <c r="H117" s="14"/>
      <c r="I117" s="14" t="str">
        <f>IFERROR(INDEX(Matches!$C$2:$C$105,MATCH($B117,Matches!$A$2:$A$105,0)),"")</f>
        <v>First Stage</v>
      </c>
    </row>
    <row r="118" spans="1:9" x14ac:dyDescent="0.3">
      <c r="A118" s="14">
        <v>117</v>
      </c>
      <c r="B118" s="14">
        <v>40</v>
      </c>
      <c r="C118" s="14">
        <v>426</v>
      </c>
      <c r="D118" s="14" t="str">
        <f>IFERROR(INDEX(Players!$B$2:$B$1249,MATCH($C118,Players!$A$2:$A$1249,0)),"")</f>
        <v>Mohamed Salah</v>
      </c>
      <c r="E118" s="14">
        <v>19</v>
      </c>
      <c r="F118" s="14" t="str">
        <f>IFERROR(INDEX(Teams!$B$2:$B$49,MATCH($E118,Teams!$A$2:$A$49,0)),"")</f>
        <v>Egypt</v>
      </c>
      <c r="G118" s="14" t="s">
        <v>243</v>
      </c>
      <c r="H118" s="14"/>
      <c r="I118" s="14" t="str">
        <f>IFERROR(INDEX(Matches!$C$2:$C$105,MATCH($B118,Matches!$A$2:$A$105,0)),"")</f>
        <v>First Stage</v>
      </c>
    </row>
    <row r="119" spans="1:9" x14ac:dyDescent="0.3">
      <c r="A119" s="14">
        <v>118</v>
      </c>
      <c r="B119" s="14">
        <v>40</v>
      </c>
      <c r="C119" s="14">
        <v>423</v>
      </c>
      <c r="D119" s="14" t="str">
        <f>IFERROR(INDEX(Players!$B$2:$B$1249,MATCH($C119,Players!$A$2:$A$1249,0)),"")</f>
        <v>Trezeguet</v>
      </c>
      <c r="E119" s="14">
        <v>19</v>
      </c>
      <c r="F119" s="14" t="str">
        <f>IFERROR(INDEX(Teams!$B$2:$B$49,MATCH($E119,Teams!$A$2:$A$49,0)),"")</f>
        <v>Egypt</v>
      </c>
      <c r="G119" s="14" t="s">
        <v>312</v>
      </c>
      <c r="H119" s="14"/>
      <c r="I119" s="14" t="str">
        <f>IFERROR(INDEX(Matches!$C$2:$C$105,MATCH($B119,Matches!$A$2:$A$105,0)),"")</f>
        <v>First Stage</v>
      </c>
    </row>
    <row r="120" spans="1:9" x14ac:dyDescent="0.3">
      <c r="A120" s="14">
        <v>119</v>
      </c>
      <c r="B120" s="14">
        <v>63</v>
      </c>
      <c r="C120" s="14">
        <v>437</v>
      </c>
      <c r="D120" s="14" t="str">
        <f>IFERROR(INDEX(Players!$B$2:$B$1249,MATCH($C120,Players!$A$2:$A$1249,0)),"")</f>
        <v>Mahmoud Saber</v>
      </c>
      <c r="E120" s="14">
        <v>19</v>
      </c>
      <c r="F120" s="14" t="str">
        <f>IFERROR(INDEX(Teams!$B$2:$B$49,MATCH($E120,Teams!$A$2:$A$49,0)),"")</f>
        <v>Egypt</v>
      </c>
      <c r="G120" s="14" t="s">
        <v>302</v>
      </c>
      <c r="H120" s="14"/>
      <c r="I120" s="14" t="str">
        <f>IFERROR(INDEX(Matches!$C$2:$C$105,MATCH($B120,Matches!$A$2:$A$105,0)),"")</f>
        <v>First Stage</v>
      </c>
    </row>
    <row r="121" spans="1:9" x14ac:dyDescent="0.3">
      <c r="A121" s="14">
        <v>120</v>
      </c>
      <c r="B121" s="14">
        <v>63</v>
      </c>
      <c r="C121" s="14">
        <v>595</v>
      </c>
      <c r="D121" s="14" t="str">
        <f>IFERROR(INDEX(Players!$B$2:$B$1249,MATCH($C121,Players!$A$2:$A$1249,0)),"")</f>
        <v>Ramin Rezaeian</v>
      </c>
      <c r="E121" s="14">
        <v>30</v>
      </c>
      <c r="F121" s="14" t="str">
        <f>IFERROR(INDEX(Teams!$B$2:$B$49,MATCH($E121,Teams!$A$2:$A$49,0)),"")</f>
        <v>IR Iran</v>
      </c>
      <c r="G121" s="14" t="s">
        <v>313</v>
      </c>
      <c r="H121" s="14"/>
      <c r="I121" s="14" t="str">
        <f>IFERROR(INDEX(Matches!$C$2:$C$105,MATCH($B121,Matches!$A$2:$A$105,0)),"")</f>
        <v>First Stage</v>
      </c>
    </row>
    <row r="122" spans="1:9" x14ac:dyDescent="0.3">
      <c r="A122" s="14">
        <v>121</v>
      </c>
      <c r="B122" s="14">
        <v>64</v>
      </c>
      <c r="C122" s="14">
        <v>791</v>
      </c>
      <c r="D122" s="14" t="str">
        <f>IFERROR(INDEX(Players!$B$2:$B$1249,MATCH($C122,Players!$A$2:$A$1249,0)),"")</f>
        <v>Elijah Just</v>
      </c>
      <c r="E122" s="14">
        <v>42</v>
      </c>
      <c r="F122" s="14" t="str">
        <f>IFERROR(INDEX(Teams!$B$2:$B$49,MATCH($E122,Teams!$A$2:$A$49,0)),"")</f>
        <v>New Zealand</v>
      </c>
      <c r="G122" s="14" t="s">
        <v>259</v>
      </c>
      <c r="H122" s="14"/>
      <c r="I122" s="14" t="str">
        <f>IFERROR(INDEX(Matches!$C$2:$C$105,MATCH($B122,Matches!$A$2:$A$105,0)),"")</f>
        <v>First Stage</v>
      </c>
    </row>
    <row r="123" spans="1:9" x14ac:dyDescent="0.3">
      <c r="A123" s="14">
        <v>122</v>
      </c>
      <c r="B123" s="14">
        <v>64</v>
      </c>
      <c r="C123" s="14">
        <v>114</v>
      </c>
      <c r="D123" s="14" t="str">
        <f>IFERROR(INDEX(Players!$B$2:$B$1249,MATCH($C123,Players!$A$2:$A$1249,0)),"")</f>
        <v>Leandro Trossard</v>
      </c>
      <c r="E123" s="14">
        <v>2</v>
      </c>
      <c r="F123" s="14" t="str">
        <f>IFERROR(INDEX(Teams!$B$2:$B$49,MATCH($E123,Teams!$A$2:$A$49,0)),"")</f>
        <v>Belgium</v>
      </c>
      <c r="G123" s="14" t="s">
        <v>275</v>
      </c>
      <c r="H123" s="14"/>
      <c r="I123" s="14" t="str">
        <f>IFERROR(INDEX(Matches!$C$2:$C$105,MATCH($B123,Matches!$A$2:$A$105,0)),"")</f>
        <v>First Stage</v>
      </c>
    </row>
    <row r="124" spans="1:9" x14ac:dyDescent="0.3">
      <c r="A124" s="14">
        <v>123</v>
      </c>
      <c r="B124" s="14">
        <v>64</v>
      </c>
      <c r="C124" s="14">
        <v>114</v>
      </c>
      <c r="D124" s="14" t="str">
        <f>IFERROR(INDEX(Players!$B$2:$B$1249,MATCH($C124,Players!$A$2:$A$1249,0)),"")</f>
        <v>Leandro Trossard</v>
      </c>
      <c r="E124" s="14">
        <v>2</v>
      </c>
      <c r="F124" s="14" t="str">
        <f>IFERROR(INDEX(Teams!$B$2:$B$49,MATCH($E124,Teams!$A$2:$A$49,0)),"")</f>
        <v>Belgium</v>
      </c>
      <c r="G124" s="14" t="s">
        <v>249</v>
      </c>
      <c r="H124" s="14"/>
      <c r="I124" s="14" t="str">
        <f>IFERROR(INDEX(Matches!$C$2:$C$105,MATCH($B124,Matches!$A$2:$A$105,0)),"")</f>
        <v>First Stage</v>
      </c>
    </row>
    <row r="125" spans="1:9" x14ac:dyDescent="0.3">
      <c r="A125" s="14">
        <v>124</v>
      </c>
      <c r="B125" s="14">
        <v>64</v>
      </c>
      <c r="C125" s="14">
        <v>111</v>
      </c>
      <c r="D125" s="14" t="str">
        <f>IFERROR(INDEX(Players!$B$2:$B$1249,MATCH($C125,Players!$A$2:$A$1249,0)),"")</f>
        <v>Kevin De Bruyne</v>
      </c>
      <c r="E125" s="14">
        <v>2</v>
      </c>
      <c r="F125" s="14" t="str">
        <f>IFERROR(INDEX(Teams!$B$2:$B$49,MATCH($E125,Teams!$A$2:$A$49,0)),"")</f>
        <v>Belgium</v>
      </c>
      <c r="G125" s="14" t="s">
        <v>308</v>
      </c>
      <c r="H125" s="14"/>
      <c r="I125" s="14" t="str">
        <f>IFERROR(INDEX(Matches!$C$2:$C$105,MATCH($B125,Matches!$A$2:$A$105,0)),"")</f>
        <v>First Stage</v>
      </c>
    </row>
    <row r="126" spans="1:9" x14ac:dyDescent="0.3">
      <c r="A126" s="14">
        <v>125</v>
      </c>
      <c r="B126" s="14">
        <v>64</v>
      </c>
      <c r="C126" s="14">
        <v>113</v>
      </c>
      <c r="D126" s="14" t="str">
        <f>IFERROR(INDEX(Players!$B$2:$B$1249,MATCH($C126,Players!$A$2:$A$1249,0)),"")</f>
        <v>Romelu Lukaku</v>
      </c>
      <c r="E126" s="14">
        <v>2</v>
      </c>
      <c r="F126" s="14" t="str">
        <f>IFERROR(INDEX(Teams!$B$2:$B$49,MATCH($E126,Teams!$A$2:$A$49,0)),"")</f>
        <v>Belgium</v>
      </c>
      <c r="G126" s="14" t="s">
        <v>314</v>
      </c>
      <c r="H126" s="14"/>
      <c r="I126" s="14" t="str">
        <f>IFERROR(INDEX(Matches!$C$2:$C$105,MATCH($B126,Matches!$A$2:$A$105,0)),"")</f>
        <v>First Stage</v>
      </c>
    </row>
    <row r="127" spans="1:9" x14ac:dyDescent="0.3">
      <c r="A127" s="14">
        <v>126</v>
      </c>
      <c r="B127" s="14">
        <v>64</v>
      </c>
      <c r="C127" s="14">
        <v>126</v>
      </c>
      <c r="D127" s="14" t="str">
        <f>IFERROR(INDEX(Players!$B$2:$B$1249,MATCH($C127,Players!$A$2:$A$1249,0)),"")</f>
        <v>Alexis Saelemaekers</v>
      </c>
      <c r="E127" s="14">
        <v>2</v>
      </c>
      <c r="F127" s="14" t="str">
        <f>IFERROR(INDEX(Teams!$B$2:$B$49,MATCH($E127,Teams!$A$2:$A$49,0)),"")</f>
        <v>Belgium</v>
      </c>
      <c r="G127" s="14" t="s">
        <v>252</v>
      </c>
      <c r="H127" s="14"/>
      <c r="I127" s="14" t="str">
        <f>IFERROR(INDEX(Matches!$C$2:$C$105,MATCH($B127,Matches!$A$2:$A$105,0)),"")</f>
        <v>First Stage</v>
      </c>
    </row>
    <row r="128" spans="1:9" x14ac:dyDescent="0.3">
      <c r="A128" s="14">
        <v>127</v>
      </c>
      <c r="B128" s="14">
        <v>13</v>
      </c>
      <c r="C128" s="14">
        <v>940</v>
      </c>
      <c r="D128" s="14" t="str">
        <f>IFERROR(INDEX(Players!$B$2:$B$1249,MATCH($C128,Players!$A$2:$A$1249,0)),"")</f>
        <v>Abdulelah Alamri</v>
      </c>
      <c r="E128" s="14">
        <v>45</v>
      </c>
      <c r="F128" s="14" t="str">
        <f>IFERROR(INDEX(Teams!$B$2:$B$49,MATCH($E128,Teams!$A$2:$A$49,0)),"")</f>
        <v>Saudi Arabia</v>
      </c>
      <c r="G128" s="14" t="s">
        <v>315</v>
      </c>
      <c r="H128" s="14"/>
      <c r="I128" s="14" t="str">
        <f>IFERROR(INDEX(Matches!$C$2:$C$105,MATCH($B128,Matches!$A$2:$A$105,0)),"")</f>
        <v>First Stage</v>
      </c>
    </row>
    <row r="129" spans="1:9" x14ac:dyDescent="0.3">
      <c r="A129" s="14">
        <v>128</v>
      </c>
      <c r="B129" s="14">
        <v>13</v>
      </c>
      <c r="C129" s="14">
        <v>1190</v>
      </c>
      <c r="D129" s="14" t="str">
        <f>IFERROR(INDEX(Players!$B$2:$B$1249,MATCH($C129,Players!$A$2:$A$1249,0)),"")</f>
        <v>Maxi Araujo</v>
      </c>
      <c r="E129" s="14">
        <v>36</v>
      </c>
      <c r="F129" s="14" t="str">
        <f>IFERROR(INDEX(Teams!$B$2:$B$49,MATCH($E129,Teams!$A$2:$A$49,0)),"")</f>
        <v>Uruguay</v>
      </c>
      <c r="G129" s="14" t="s">
        <v>244</v>
      </c>
      <c r="H129" s="14"/>
      <c r="I129" s="14" t="str">
        <f>IFERROR(INDEX(Matches!$C$2:$C$105,MATCH($B129,Matches!$A$2:$A$105,0)),"")</f>
        <v>First Stage</v>
      </c>
    </row>
    <row r="130" spans="1:9" x14ac:dyDescent="0.3">
      <c r="A130" s="14">
        <v>129</v>
      </c>
      <c r="B130" s="14">
        <v>38</v>
      </c>
      <c r="C130" s="14">
        <v>1059</v>
      </c>
      <c r="D130" s="14" t="str">
        <f>IFERROR(INDEX(Players!$B$2:$B$1249,MATCH($C130,Players!$A$2:$A$1249,0)),"")</f>
        <v>Lamine Yamal</v>
      </c>
      <c r="E130" s="14">
        <v>10</v>
      </c>
      <c r="F130" s="14" t="str">
        <f>IFERROR(INDEX(Teams!$B$2:$B$49,MATCH($E130,Teams!$A$2:$A$49,0)),"")</f>
        <v>Spain</v>
      </c>
      <c r="G130" s="14" t="s">
        <v>284</v>
      </c>
      <c r="H130" s="14"/>
      <c r="I130" s="14" t="str">
        <f>IFERROR(INDEX(Matches!$C$2:$C$105,MATCH($B130,Matches!$A$2:$A$105,0)),"")</f>
        <v>First Stage</v>
      </c>
    </row>
    <row r="131" spans="1:9" x14ac:dyDescent="0.3">
      <c r="A131" s="14">
        <v>130</v>
      </c>
      <c r="B131" s="14">
        <v>38</v>
      </c>
      <c r="C131" s="14">
        <v>1061</v>
      </c>
      <c r="D131" s="14" t="str">
        <f>IFERROR(INDEX(Players!$B$2:$B$1249,MATCH($C131,Players!$A$2:$A$1249,0)),"")</f>
        <v>Mikel Oyarzabal</v>
      </c>
      <c r="E131" s="14">
        <v>10</v>
      </c>
      <c r="F131" s="14" t="str">
        <f>IFERROR(INDEX(Teams!$B$2:$B$49,MATCH($E131,Teams!$A$2:$A$49,0)),"")</f>
        <v>Spain</v>
      </c>
      <c r="G131" s="14" t="s">
        <v>255</v>
      </c>
      <c r="H131" s="14"/>
      <c r="I131" s="14" t="str">
        <f>IFERROR(INDEX(Matches!$C$2:$C$105,MATCH($B131,Matches!$A$2:$A$105,0)),"")</f>
        <v>First Stage</v>
      </c>
    </row>
    <row r="132" spans="1:9" x14ac:dyDescent="0.3">
      <c r="A132" s="14">
        <v>131</v>
      </c>
      <c r="B132" s="14">
        <v>38</v>
      </c>
      <c r="C132" s="14">
        <v>1061</v>
      </c>
      <c r="D132" s="14" t="str">
        <f>IFERROR(INDEX(Players!$B$2:$B$1249,MATCH($C132,Players!$A$2:$A$1249,0)),"")</f>
        <v>Mikel Oyarzabal</v>
      </c>
      <c r="E132" s="14">
        <v>10</v>
      </c>
      <c r="F132" s="14" t="str">
        <f>IFERROR(INDEX(Teams!$B$2:$B$49,MATCH($E132,Teams!$A$2:$A$49,0)),"")</f>
        <v>Spain</v>
      </c>
      <c r="G132" s="14" t="s">
        <v>316</v>
      </c>
      <c r="H132" s="14"/>
      <c r="I132" s="14" t="str">
        <f>IFERROR(INDEX(Matches!$C$2:$C$105,MATCH($B132,Matches!$A$2:$A$105,0)),"")</f>
        <v>First Stage</v>
      </c>
    </row>
    <row r="133" spans="1:9" x14ac:dyDescent="0.3">
      <c r="A133" s="14">
        <v>132</v>
      </c>
      <c r="B133" s="14">
        <v>38</v>
      </c>
      <c r="C133" s="14">
        <v>941</v>
      </c>
      <c r="D133" s="14" t="str">
        <f>IFERROR(INDEX(Players!$B$2:$B$1249,MATCH($C133,Players!$A$2:$A$1249,0)),"")</f>
        <v>Hassan Altambakti</v>
      </c>
      <c r="E133" s="14">
        <v>10</v>
      </c>
      <c r="F133" s="14" t="str">
        <f>IFERROR(INDEX(Teams!$B$2:$B$49,MATCH($E133,Teams!$A$2:$A$49,0)),"")</f>
        <v>Spain</v>
      </c>
      <c r="G133" s="14" t="s">
        <v>293</v>
      </c>
      <c r="H133" s="14" t="s">
        <v>256</v>
      </c>
      <c r="I133" s="14" t="str">
        <f>IFERROR(INDEX(Matches!$C$2:$C$105,MATCH($B133,Matches!$A$2:$A$105,0)),"")</f>
        <v>First Stage</v>
      </c>
    </row>
    <row r="134" spans="1:9" x14ac:dyDescent="0.3">
      <c r="A134" s="14">
        <v>133</v>
      </c>
      <c r="B134" s="14">
        <v>37</v>
      </c>
      <c r="C134" s="14">
        <v>1190</v>
      </c>
      <c r="D134" s="14" t="str">
        <f>IFERROR(INDEX(Players!$B$2:$B$1249,MATCH($C134,Players!$A$2:$A$1249,0)),"")</f>
        <v>Maxi Araujo</v>
      </c>
      <c r="E134" s="14">
        <v>36</v>
      </c>
      <c r="F134" s="14" t="str">
        <f>IFERROR(INDEX(Teams!$B$2:$B$49,MATCH($E134,Teams!$A$2:$A$49,0)),"")</f>
        <v>Uruguay</v>
      </c>
      <c r="G134" s="14" t="s">
        <v>317</v>
      </c>
      <c r="H134" s="14"/>
      <c r="I134" s="14" t="str">
        <f>IFERROR(INDEX(Matches!$C$2:$C$105,MATCH($B134,Matches!$A$2:$A$105,0)),"")</f>
        <v>First Stage</v>
      </c>
    </row>
    <row r="135" spans="1:9" x14ac:dyDescent="0.3">
      <c r="A135" s="14">
        <v>134</v>
      </c>
      <c r="B135" s="14">
        <v>37</v>
      </c>
      <c r="C135" s="14">
        <v>1184</v>
      </c>
      <c r="D135" s="14" t="str">
        <f>IFERROR(INDEX(Players!$B$2:$B$1249,MATCH($C135,Players!$A$2:$A$1249,0)),"")</f>
        <v>Agustin Canobbio</v>
      </c>
      <c r="E135" s="14">
        <v>36</v>
      </c>
      <c r="F135" s="14" t="str">
        <f>IFERROR(INDEX(Teams!$B$2:$B$49,MATCH($E135,Teams!$A$2:$A$49,0)),"")</f>
        <v>Uruguay</v>
      </c>
      <c r="G135" s="14" t="s">
        <v>318</v>
      </c>
      <c r="H135" s="14"/>
      <c r="I135" s="14" t="str">
        <f>IFERROR(INDEX(Matches!$C$2:$C$105,MATCH($B135,Matches!$A$2:$A$105,0)),"")</f>
        <v>First Stage</v>
      </c>
    </row>
    <row r="136" spans="1:9" x14ac:dyDescent="0.3">
      <c r="A136" s="14">
        <v>135</v>
      </c>
      <c r="B136" s="14">
        <v>37</v>
      </c>
      <c r="C136" s="14">
        <v>188</v>
      </c>
      <c r="D136" s="14" t="str">
        <f>IFERROR(INDEX(Players!$B$2:$B$1249,MATCH($C136,Players!$A$2:$A$1249,0)),"")</f>
        <v>Kevin Pina</v>
      </c>
      <c r="E136" s="14">
        <v>15</v>
      </c>
      <c r="F136" s="14" t="str">
        <f>IFERROR(INDEX(Teams!$B$2:$B$49,MATCH($E136,Teams!$A$2:$A$49,0)),"")</f>
        <v>Cabo Verde</v>
      </c>
      <c r="G136" s="14" t="s">
        <v>255</v>
      </c>
      <c r="H136" s="14"/>
      <c r="I136" s="14" t="str">
        <f>IFERROR(INDEX(Matches!$C$2:$C$105,MATCH($B136,Matches!$A$2:$A$105,0)),"")</f>
        <v>First Stage</v>
      </c>
    </row>
    <row r="137" spans="1:9" x14ac:dyDescent="0.3">
      <c r="A137" s="14">
        <v>136</v>
      </c>
      <c r="B137" s="14">
        <v>37</v>
      </c>
      <c r="C137" s="14">
        <v>208</v>
      </c>
      <c r="D137" s="14" t="str">
        <f>IFERROR(INDEX(Players!$B$2:$B$1249,MATCH($C137,Players!$A$2:$A$1249,0)),"")</f>
        <v>Helio Varela</v>
      </c>
      <c r="E137" s="14">
        <v>15</v>
      </c>
      <c r="F137" s="14" t="str">
        <f>IFERROR(INDEX(Teams!$B$2:$B$49,MATCH($E137,Teams!$A$2:$A$49,0)),"")</f>
        <v>Cabo Verde</v>
      </c>
      <c r="G137" s="14" t="s">
        <v>251</v>
      </c>
      <c r="H137" s="14"/>
      <c r="I137" s="14" t="str">
        <f>IFERROR(INDEX(Matches!$C$2:$C$105,MATCH($B137,Matches!$A$2:$A$105,0)),"")</f>
        <v>First Stage</v>
      </c>
    </row>
    <row r="138" spans="1:9" x14ac:dyDescent="0.3">
      <c r="A138" s="14">
        <v>137</v>
      </c>
      <c r="B138" s="14">
        <v>66</v>
      </c>
      <c r="C138" s="14">
        <v>1055</v>
      </c>
      <c r="D138" s="14" t="str">
        <f>IFERROR(INDEX(Players!$B$2:$B$1249,MATCH($C138,Players!$A$2:$A$1249,0)),"")</f>
        <v>Alex Baena</v>
      </c>
      <c r="E138" s="14">
        <v>10</v>
      </c>
      <c r="F138" s="14" t="str">
        <f>IFERROR(INDEX(Teams!$B$2:$B$49,MATCH($E138,Teams!$A$2:$A$49,0)),"")</f>
        <v>Spain</v>
      </c>
      <c r="G138" s="14" t="s">
        <v>273</v>
      </c>
      <c r="H138" s="14"/>
      <c r="I138" s="14" t="str">
        <f>IFERROR(INDEX(Matches!$C$2:$C$105,MATCH($B138,Matches!$A$2:$A$105,0)),"")</f>
        <v>First Stage</v>
      </c>
    </row>
    <row r="139" spans="1:9" x14ac:dyDescent="0.3">
      <c r="A139" s="14">
        <v>138</v>
      </c>
      <c r="B139" s="14">
        <v>17</v>
      </c>
      <c r="C139" s="14">
        <v>478</v>
      </c>
      <c r="D139" s="14" t="str">
        <f>IFERROR(INDEX(Players!$B$2:$B$1249,MATCH($C139,Players!$A$2:$A$1249,0)),"")</f>
        <v>Kylian Mbappe</v>
      </c>
      <c r="E139" s="14">
        <v>6</v>
      </c>
      <c r="F139" s="14" t="str">
        <f>IFERROR(INDEX(Teams!$B$2:$B$49,MATCH($E139,Teams!$A$2:$A$49,0)),"")</f>
        <v>France</v>
      </c>
      <c r="G139" s="14" t="s">
        <v>308</v>
      </c>
      <c r="H139" s="14"/>
      <c r="I139" s="14" t="str">
        <f>IFERROR(INDEX(Matches!$C$2:$C$105,MATCH($B139,Matches!$A$2:$A$105,0)),"")</f>
        <v>First Stage</v>
      </c>
    </row>
    <row r="140" spans="1:9" x14ac:dyDescent="0.3">
      <c r="A140" s="14">
        <v>139</v>
      </c>
      <c r="B140" s="14">
        <v>17</v>
      </c>
      <c r="C140" s="14">
        <v>480</v>
      </c>
      <c r="D140" s="14" t="str">
        <f>IFERROR(INDEX(Players!$B$2:$B$1249,MATCH($C140,Players!$A$2:$A$1249,0)),"")</f>
        <v>Bradley Barcola</v>
      </c>
      <c r="E140" s="14">
        <v>6</v>
      </c>
      <c r="F140" s="14" t="str">
        <f>IFERROR(INDEX(Teams!$B$2:$B$49,MATCH($E140,Teams!$A$2:$A$49,0)),"")</f>
        <v>France</v>
      </c>
      <c r="G140" s="14" t="s">
        <v>312</v>
      </c>
      <c r="H140" s="14"/>
      <c r="I140" s="14" t="str">
        <f>IFERROR(INDEX(Matches!$C$2:$C$105,MATCH($B140,Matches!$A$2:$A$105,0)),"")</f>
        <v>First Stage</v>
      </c>
    </row>
    <row r="141" spans="1:9" x14ac:dyDescent="0.3">
      <c r="A141" s="14">
        <v>140</v>
      </c>
      <c r="B141" s="14">
        <v>17</v>
      </c>
      <c r="C141" s="14">
        <v>478</v>
      </c>
      <c r="D141" s="14" t="str">
        <f>IFERROR(INDEX(Players!$B$2:$B$1249,MATCH($C141,Players!$A$2:$A$1249,0)),"")</f>
        <v>Kylian Mbappe</v>
      </c>
      <c r="E141" s="14">
        <v>6</v>
      </c>
      <c r="F141" s="14" t="str">
        <f>IFERROR(INDEX(Teams!$B$2:$B$49,MATCH($E141,Teams!$A$2:$A$49,0)),"")</f>
        <v>France</v>
      </c>
      <c r="G141" s="14" t="s">
        <v>301</v>
      </c>
      <c r="H141" s="14"/>
      <c r="I141" s="14" t="str">
        <f>IFERROR(INDEX(Matches!$C$2:$C$105,MATCH($B141,Matches!$A$2:$A$105,0)),"")</f>
        <v>First Stage</v>
      </c>
    </row>
    <row r="142" spans="1:9" x14ac:dyDescent="0.3">
      <c r="A142" s="14">
        <v>141</v>
      </c>
      <c r="B142" s="14">
        <v>17</v>
      </c>
      <c r="C142" s="14">
        <v>1008</v>
      </c>
      <c r="D142" s="14" t="str">
        <f>IFERROR(INDEX(Players!$B$2:$B$1249,MATCH($C142,Players!$A$2:$A$1249,0)),"")</f>
        <v>Ibrahim Mbaye</v>
      </c>
      <c r="E142" s="14">
        <v>34</v>
      </c>
      <c r="F142" s="14" t="str">
        <f>IFERROR(INDEX(Teams!$B$2:$B$49,MATCH($E142,Teams!$A$2:$A$49,0)),"")</f>
        <v>Senegal</v>
      </c>
      <c r="G142" s="14" t="s">
        <v>319</v>
      </c>
      <c r="H142" s="14"/>
      <c r="I142" s="14" t="str">
        <f>IFERROR(INDEX(Matches!$C$2:$C$105,MATCH($B142,Matches!$A$2:$A$105,0)),"")</f>
        <v>First Stage</v>
      </c>
    </row>
    <row r="143" spans="1:9" x14ac:dyDescent="0.3">
      <c r="A143" s="14">
        <v>142</v>
      </c>
      <c r="B143" s="14">
        <v>18</v>
      </c>
      <c r="C143" s="14">
        <v>616</v>
      </c>
      <c r="D143" s="14" t="str">
        <f>IFERROR(INDEX(Players!$B$2:$B$1249,MATCH($C143,Players!$A$2:$A$1249,0)),"")</f>
        <v>Aymen Hussein</v>
      </c>
      <c r="E143" s="14">
        <v>40</v>
      </c>
      <c r="F143" s="14" t="str">
        <f>IFERROR(INDEX(Teams!$B$2:$B$49,MATCH($E143,Teams!$A$2:$A$49,0)),"")</f>
        <v>Iraq</v>
      </c>
      <c r="G143" s="14" t="s">
        <v>281</v>
      </c>
      <c r="H143" s="14"/>
      <c r="I143" s="14" t="str">
        <f>IFERROR(INDEX(Matches!$C$2:$C$105,MATCH($B143,Matches!$A$2:$A$105,0)),"")</f>
        <v>First Stage</v>
      </c>
    </row>
    <row r="144" spans="1:9" x14ac:dyDescent="0.3">
      <c r="A144" s="14">
        <v>143</v>
      </c>
      <c r="B144" s="14">
        <v>18</v>
      </c>
      <c r="C144" s="14">
        <v>815</v>
      </c>
      <c r="D144" s="14" t="str">
        <f>IFERROR(INDEX(Players!$B$2:$B$1249,MATCH($C144,Players!$A$2:$A$1249,0)),"")</f>
        <v>Erling Haaland</v>
      </c>
      <c r="E144" s="14">
        <v>22</v>
      </c>
      <c r="F144" s="14" t="str">
        <f>IFERROR(INDEX(Teams!$B$2:$B$49,MATCH($E144,Teams!$A$2:$A$49,0)),"")</f>
        <v>Norway</v>
      </c>
      <c r="G144" s="14" t="s">
        <v>264</v>
      </c>
      <c r="H144" s="14"/>
      <c r="I144" s="14" t="str">
        <f>IFERROR(INDEX(Matches!$C$2:$C$105,MATCH($B144,Matches!$A$2:$A$105,0)),"")</f>
        <v>First Stage</v>
      </c>
    </row>
    <row r="145" spans="1:9" x14ac:dyDescent="0.3">
      <c r="A145" s="14">
        <v>144</v>
      </c>
      <c r="B145" s="14">
        <v>18</v>
      </c>
      <c r="C145" s="14">
        <v>815</v>
      </c>
      <c r="D145" s="14" t="str">
        <f>IFERROR(INDEX(Players!$B$2:$B$1249,MATCH($C145,Players!$A$2:$A$1249,0)),"")</f>
        <v>Erling Haaland</v>
      </c>
      <c r="E145" s="14">
        <v>22</v>
      </c>
      <c r="F145" s="14" t="str">
        <f>IFERROR(INDEX(Teams!$B$2:$B$49,MATCH($E145,Teams!$A$2:$A$49,0)),"")</f>
        <v>Norway</v>
      </c>
      <c r="G145" s="14" t="s">
        <v>285</v>
      </c>
      <c r="H145" s="14"/>
      <c r="I145" s="14" t="str">
        <f>IFERROR(INDEX(Matches!$C$2:$C$105,MATCH($B145,Matches!$A$2:$A$105,0)),"")</f>
        <v>First Stage</v>
      </c>
    </row>
    <row r="146" spans="1:9" x14ac:dyDescent="0.3">
      <c r="A146" s="14">
        <v>145</v>
      </c>
      <c r="B146" s="14">
        <v>18</v>
      </c>
      <c r="C146" s="14">
        <v>810</v>
      </c>
      <c r="D146" s="14" t="str">
        <f>IFERROR(INDEX(Players!$B$2:$B$1249,MATCH($C146,Players!$A$2:$A$1249,0)),"")</f>
        <v>Leo Ostigard</v>
      </c>
      <c r="E146" s="14">
        <v>22</v>
      </c>
      <c r="F146" s="14" t="str">
        <f>IFERROR(INDEX(Teams!$B$2:$B$49,MATCH($E146,Teams!$A$2:$A$49,0)),"")</f>
        <v>Norway</v>
      </c>
      <c r="G146" s="14" t="s">
        <v>271</v>
      </c>
      <c r="H146" s="14"/>
      <c r="I146" s="14" t="str">
        <f>IFERROR(INDEX(Matches!$C$2:$C$105,MATCH($B146,Matches!$A$2:$A$105,0)),"")</f>
        <v>First Stage</v>
      </c>
    </row>
    <row r="147" spans="1:9" x14ac:dyDescent="0.3">
      <c r="A147" s="14">
        <v>146</v>
      </c>
      <c r="B147" s="14">
        <v>18</v>
      </c>
      <c r="C147" s="14">
        <v>616</v>
      </c>
      <c r="D147" s="14" t="str">
        <f>IFERROR(INDEX(Players!$B$2:$B$1249,MATCH($C147,Players!$A$2:$A$1249,0)),"")</f>
        <v>Aymen Hussein</v>
      </c>
      <c r="E147" s="14">
        <v>22</v>
      </c>
      <c r="F147" s="14" t="str">
        <f>IFERROR(INDEX(Teams!$B$2:$B$49,MATCH($E147,Teams!$A$2:$A$49,0)),"")</f>
        <v>Norway</v>
      </c>
      <c r="G147" s="14" t="s">
        <v>301</v>
      </c>
      <c r="H147" s="14" t="s">
        <v>256</v>
      </c>
      <c r="I147" s="14" t="str">
        <f>IFERROR(INDEX(Matches!$C$2:$C$105,MATCH($B147,Matches!$A$2:$A$105,0)),"")</f>
        <v>First Stage</v>
      </c>
    </row>
    <row r="148" spans="1:9" x14ac:dyDescent="0.3">
      <c r="A148" s="14">
        <v>147</v>
      </c>
      <c r="B148" s="14">
        <v>42</v>
      </c>
      <c r="C148" s="14">
        <v>478</v>
      </c>
      <c r="D148" s="14" t="str">
        <f>IFERROR(INDEX(Players!$B$2:$B$1249,MATCH($C148,Players!$A$2:$A$1249,0)),"")</f>
        <v>Kylian Mbappe</v>
      </c>
      <c r="E148" s="14">
        <v>6</v>
      </c>
      <c r="F148" s="14" t="str">
        <f>IFERROR(INDEX(Teams!$B$2:$B$49,MATCH($E148,Teams!$A$2:$A$49,0)),"")</f>
        <v>France</v>
      </c>
      <c r="G148" s="14" t="s">
        <v>313</v>
      </c>
      <c r="H148" s="14"/>
      <c r="I148" s="14" t="str">
        <f>IFERROR(INDEX(Matches!$C$2:$C$105,MATCH($B148,Matches!$A$2:$A$105,0)),"")</f>
        <v>First Stage</v>
      </c>
    </row>
    <row r="149" spans="1:9" x14ac:dyDescent="0.3">
      <c r="A149" s="14">
        <v>148</v>
      </c>
      <c r="B149" s="14">
        <v>42</v>
      </c>
      <c r="C149" s="14">
        <v>478</v>
      </c>
      <c r="D149" s="14" t="str">
        <f>IFERROR(INDEX(Players!$B$2:$B$1249,MATCH($C149,Players!$A$2:$A$1249,0)),"")</f>
        <v>Kylian Mbappe</v>
      </c>
      <c r="E149" s="14">
        <v>6</v>
      </c>
      <c r="F149" s="14" t="str">
        <f>IFERROR(INDEX(Teams!$B$2:$B$49,MATCH($E149,Teams!$A$2:$A$49,0)),"")</f>
        <v>France</v>
      </c>
      <c r="G149" s="14" t="s">
        <v>303</v>
      </c>
      <c r="H149" s="14"/>
      <c r="I149" s="14" t="str">
        <f>IFERROR(INDEX(Matches!$C$2:$C$105,MATCH($B149,Matches!$A$2:$A$105,0)),"")</f>
        <v>First Stage</v>
      </c>
    </row>
    <row r="150" spans="1:9" x14ac:dyDescent="0.3">
      <c r="A150" s="14">
        <v>149</v>
      </c>
      <c r="B150" s="14">
        <v>42</v>
      </c>
      <c r="C150" s="14">
        <v>475</v>
      </c>
      <c r="D150" s="14" t="str">
        <f>IFERROR(INDEX(Players!$B$2:$B$1249,MATCH($C150,Players!$A$2:$A$1249,0)),"")</f>
        <v>Ousmane Dembele</v>
      </c>
      <c r="E150" s="14">
        <v>6</v>
      </c>
      <c r="F150" s="14" t="str">
        <f>IFERROR(INDEX(Teams!$B$2:$B$49,MATCH($E150,Teams!$A$2:$A$49,0)),"")</f>
        <v>France</v>
      </c>
      <c r="G150" s="14" t="s">
        <v>308</v>
      </c>
      <c r="H150" s="14"/>
      <c r="I150" s="14" t="str">
        <f>IFERROR(INDEX(Matches!$C$2:$C$105,MATCH($B150,Matches!$A$2:$A$105,0)),"")</f>
        <v>First Stage</v>
      </c>
    </row>
    <row r="151" spans="1:9" x14ac:dyDescent="0.3">
      <c r="A151" s="14">
        <v>150</v>
      </c>
      <c r="B151" s="14">
        <v>41</v>
      </c>
      <c r="C151" s="14">
        <v>822</v>
      </c>
      <c r="D151" s="14" t="str">
        <f>IFERROR(INDEX(Players!$B$2:$B$1249,MATCH($C151,Players!$A$2:$A$1249,0)),"")</f>
        <v>Marcus Holmgren Pedersen</v>
      </c>
      <c r="E151" s="14">
        <v>22</v>
      </c>
      <c r="F151" s="14" t="str">
        <f>IFERROR(INDEX(Teams!$B$2:$B$49,MATCH($E151,Teams!$A$2:$A$49,0)),"")</f>
        <v>Norway</v>
      </c>
      <c r="G151" s="14" t="s">
        <v>285</v>
      </c>
      <c r="H151" s="14"/>
      <c r="I151" s="14" t="str">
        <f>IFERROR(INDEX(Matches!$C$2:$C$105,MATCH($B151,Matches!$A$2:$A$105,0)),"")</f>
        <v>First Stage</v>
      </c>
    </row>
    <row r="152" spans="1:9" x14ac:dyDescent="0.3">
      <c r="A152" s="14">
        <v>151</v>
      </c>
      <c r="B152" s="14">
        <v>41</v>
      </c>
      <c r="C152" s="14">
        <v>815</v>
      </c>
      <c r="D152" s="14" t="str">
        <f>IFERROR(INDEX(Players!$B$2:$B$1249,MATCH($C152,Players!$A$2:$A$1249,0)),"")</f>
        <v>Erling Haaland</v>
      </c>
      <c r="E152" s="14">
        <v>22</v>
      </c>
      <c r="F152" s="14" t="str">
        <f>IFERROR(INDEX(Teams!$B$2:$B$49,MATCH($E152,Teams!$A$2:$A$49,0)),"")</f>
        <v>Norway</v>
      </c>
      <c r="G152" s="14" t="s">
        <v>320</v>
      </c>
      <c r="H152" s="14"/>
      <c r="I152" s="14" t="str">
        <f>IFERROR(INDEX(Matches!$C$2:$C$105,MATCH($B152,Matches!$A$2:$A$105,0)),"")</f>
        <v>First Stage</v>
      </c>
    </row>
    <row r="153" spans="1:9" x14ac:dyDescent="0.3">
      <c r="A153" s="14">
        <v>152</v>
      </c>
      <c r="B153" s="14">
        <v>41</v>
      </c>
      <c r="C153" s="14">
        <v>815</v>
      </c>
      <c r="D153" s="14" t="str">
        <f>IFERROR(INDEX(Players!$B$2:$B$1249,MATCH($C153,Players!$A$2:$A$1249,0)),"")</f>
        <v>Erling Haaland</v>
      </c>
      <c r="E153" s="14">
        <v>22</v>
      </c>
      <c r="F153" s="14" t="str">
        <f>IFERROR(INDEX(Teams!$B$2:$B$49,MATCH($E153,Teams!$A$2:$A$49,0)),"")</f>
        <v>Norway</v>
      </c>
      <c r="G153" s="14" t="s">
        <v>311</v>
      </c>
      <c r="H153" s="14"/>
      <c r="I153" s="14" t="str">
        <f>IFERROR(INDEX(Matches!$C$2:$C$105,MATCH($B153,Matches!$A$2:$A$105,0)),"")</f>
        <v>First Stage</v>
      </c>
    </row>
    <row r="154" spans="1:9" x14ac:dyDescent="0.3">
      <c r="A154" s="14">
        <v>153</v>
      </c>
      <c r="B154" s="14">
        <v>41</v>
      </c>
      <c r="C154" s="14">
        <v>1006</v>
      </c>
      <c r="D154" s="14" t="str">
        <f>IFERROR(INDEX(Players!$B$2:$B$1249,MATCH($C154,Players!$A$2:$A$1249,0)),"")</f>
        <v>Ismaila Sarr</v>
      </c>
      <c r="E154" s="14">
        <v>34</v>
      </c>
      <c r="F154" s="14" t="str">
        <f>IFERROR(INDEX(Teams!$B$2:$B$49,MATCH($E154,Teams!$A$2:$A$49,0)),"")</f>
        <v>Senegal</v>
      </c>
      <c r="G154" s="14" t="s">
        <v>321</v>
      </c>
      <c r="H154" s="14"/>
      <c r="I154" s="14" t="str">
        <f>IFERROR(INDEX(Matches!$C$2:$C$105,MATCH($B154,Matches!$A$2:$A$105,0)),"")</f>
        <v>First Stage</v>
      </c>
    </row>
    <row r="155" spans="1:9" x14ac:dyDescent="0.3">
      <c r="A155" s="14">
        <v>154</v>
      </c>
      <c r="B155" s="14">
        <v>41</v>
      </c>
      <c r="C155" s="14">
        <v>1006</v>
      </c>
      <c r="D155" s="14" t="str">
        <f>IFERROR(INDEX(Players!$B$2:$B$1249,MATCH($C155,Players!$A$2:$A$1249,0)),"")</f>
        <v>Ismaila Sarr</v>
      </c>
      <c r="E155" s="14">
        <v>34</v>
      </c>
      <c r="F155" s="14" t="str">
        <f>IFERROR(INDEX(Teams!$B$2:$B$49,MATCH($E155,Teams!$A$2:$A$49,0)),"")</f>
        <v>Senegal</v>
      </c>
      <c r="G155" s="14" t="s">
        <v>262</v>
      </c>
      <c r="H155" s="14"/>
      <c r="I155" s="14" t="str">
        <f>IFERROR(INDEX(Matches!$C$2:$C$105,MATCH($B155,Matches!$A$2:$A$105,0)),"")</f>
        <v>First Stage</v>
      </c>
    </row>
    <row r="156" spans="1:9" x14ac:dyDescent="0.3">
      <c r="A156" s="14">
        <v>155</v>
      </c>
      <c r="B156" s="14">
        <v>61</v>
      </c>
      <c r="C156" s="14">
        <v>825</v>
      </c>
      <c r="D156" s="14" t="str">
        <f>IFERROR(INDEX(Players!$B$2:$B$1249,MATCH($C156,Players!$A$2:$A$1249,0)),"")</f>
        <v>Thelo Aasgaard</v>
      </c>
      <c r="E156" s="14">
        <v>22</v>
      </c>
      <c r="F156" s="14" t="str">
        <f>IFERROR(INDEX(Teams!$B$2:$B$49,MATCH($E156,Teams!$A$2:$A$49,0)),"")</f>
        <v>Norway</v>
      </c>
      <c r="G156" s="14" t="s">
        <v>255</v>
      </c>
      <c r="H156" s="14"/>
      <c r="I156" s="14" t="str">
        <f>IFERROR(INDEX(Matches!$C$2:$C$105,MATCH($B156,Matches!$A$2:$A$105,0)),"")</f>
        <v>First Stage</v>
      </c>
    </row>
    <row r="157" spans="1:9" x14ac:dyDescent="0.3">
      <c r="A157" s="14">
        <v>156</v>
      </c>
      <c r="B157" s="14">
        <v>61</v>
      </c>
      <c r="C157" s="14">
        <v>475</v>
      </c>
      <c r="D157" s="14" t="str">
        <f>IFERROR(INDEX(Players!$B$2:$B$1249,MATCH($C157,Players!$A$2:$A$1249,0)),"")</f>
        <v>Ousmane Dembele</v>
      </c>
      <c r="E157" s="14">
        <v>6</v>
      </c>
      <c r="F157" s="14" t="str">
        <f>IFERROR(INDEX(Teams!$B$2:$B$49,MATCH($E157,Teams!$A$2:$A$49,0)),"")</f>
        <v>France</v>
      </c>
      <c r="G157" s="14" t="s">
        <v>279</v>
      </c>
      <c r="H157" s="14"/>
      <c r="I157" s="14" t="str">
        <f>IFERROR(INDEX(Matches!$C$2:$C$105,MATCH($B157,Matches!$A$2:$A$105,0)),"")</f>
        <v>First Stage</v>
      </c>
    </row>
    <row r="158" spans="1:9" x14ac:dyDescent="0.3">
      <c r="A158" s="14">
        <v>157</v>
      </c>
      <c r="B158" s="14">
        <v>61</v>
      </c>
      <c r="C158" s="14">
        <v>475</v>
      </c>
      <c r="D158" s="14" t="str">
        <f>IFERROR(INDEX(Players!$B$2:$B$1249,MATCH($C158,Players!$A$2:$A$1249,0)),"")</f>
        <v>Ousmane Dembele</v>
      </c>
      <c r="E158" s="14">
        <v>6</v>
      </c>
      <c r="F158" s="14" t="str">
        <f>IFERROR(INDEX(Teams!$B$2:$B$49,MATCH($E158,Teams!$A$2:$A$49,0)),"")</f>
        <v>France</v>
      </c>
      <c r="G158" s="14" t="s">
        <v>322</v>
      </c>
      <c r="H158" s="14"/>
      <c r="I158" s="14" t="str">
        <f>IFERROR(INDEX(Matches!$C$2:$C$105,MATCH($B158,Matches!$A$2:$A$105,0)),"")</f>
        <v>First Stage</v>
      </c>
    </row>
    <row r="159" spans="1:9" x14ac:dyDescent="0.3">
      <c r="A159" s="14">
        <v>158</v>
      </c>
      <c r="B159" s="14">
        <v>61</v>
      </c>
      <c r="C159" s="14">
        <v>475</v>
      </c>
      <c r="D159" s="14" t="str">
        <f>IFERROR(INDEX(Players!$B$2:$B$1249,MATCH($C159,Players!$A$2:$A$1249,0)),"")</f>
        <v>Ousmane Dembele</v>
      </c>
      <c r="E159" s="14">
        <v>6</v>
      </c>
      <c r="F159" s="14" t="str">
        <f>IFERROR(INDEX(Teams!$B$2:$B$49,MATCH($E159,Teams!$A$2:$A$49,0)),"")</f>
        <v>France</v>
      </c>
      <c r="G159" s="14" t="s">
        <v>274</v>
      </c>
      <c r="H159" s="14"/>
      <c r="I159" s="14" t="str">
        <f>IFERROR(INDEX(Matches!$C$2:$C$105,MATCH($B159,Matches!$A$2:$A$105,0)),"")</f>
        <v>First Stage</v>
      </c>
    </row>
    <row r="160" spans="1:9" x14ac:dyDescent="0.3">
      <c r="A160" s="14">
        <v>159</v>
      </c>
      <c r="B160" s="14">
        <v>61</v>
      </c>
      <c r="C160" s="14">
        <v>488</v>
      </c>
      <c r="D160" s="14" t="str">
        <f>IFERROR(INDEX(Players!$B$2:$B$1249,MATCH($C160,Players!$A$2:$A$1249,0)),"")</f>
        <v>Desire Doue</v>
      </c>
      <c r="E160" s="14">
        <v>6</v>
      </c>
      <c r="F160" s="14" t="str">
        <f>IFERROR(INDEX(Teams!$B$2:$B$49,MATCH($E160,Teams!$A$2:$A$49,0)),"")</f>
        <v>France</v>
      </c>
      <c r="G160" s="14" t="s">
        <v>252</v>
      </c>
      <c r="H160" s="14"/>
      <c r="I160" s="14" t="str">
        <f>IFERROR(INDEX(Matches!$C$2:$C$105,MATCH($B160,Matches!$A$2:$A$105,0)),"")</f>
        <v>First Stage</v>
      </c>
    </row>
    <row r="161" spans="1:9" x14ac:dyDescent="0.3">
      <c r="A161" s="14">
        <v>160</v>
      </c>
      <c r="B161" s="14">
        <v>62</v>
      </c>
      <c r="C161" s="14">
        <v>1009</v>
      </c>
      <c r="D161" s="14" t="str">
        <f>IFERROR(INDEX(Players!$B$2:$B$1249,MATCH($C161,Players!$A$2:$A$1249,0)),"")</f>
        <v>Habib Diarra</v>
      </c>
      <c r="E161" s="14">
        <v>34</v>
      </c>
      <c r="F161" s="14" t="str">
        <f>IFERROR(INDEX(Teams!$B$2:$B$49,MATCH($E161,Teams!$A$2:$A$49,0)),"")</f>
        <v>Senegal</v>
      </c>
      <c r="G161" s="14" t="s">
        <v>304</v>
      </c>
      <c r="H161" s="14"/>
      <c r="I161" s="14" t="str">
        <f>IFERROR(INDEX(Matches!$C$2:$C$105,MATCH($B161,Matches!$A$2:$A$105,0)),"")</f>
        <v>First Stage</v>
      </c>
    </row>
    <row r="162" spans="1:9" x14ac:dyDescent="0.3">
      <c r="A162" s="14">
        <v>161</v>
      </c>
      <c r="B162" s="14">
        <v>62</v>
      </c>
      <c r="C162" s="14">
        <v>1006</v>
      </c>
      <c r="D162" s="14" t="str">
        <f>IFERROR(INDEX(Players!$B$2:$B$1249,MATCH($C162,Players!$A$2:$A$1249,0)),"")</f>
        <v>Ismaila Sarr</v>
      </c>
      <c r="E162" s="14">
        <v>34</v>
      </c>
      <c r="F162" s="14" t="str">
        <f>IFERROR(INDEX(Teams!$B$2:$B$49,MATCH($E162,Teams!$A$2:$A$49,0)),"")</f>
        <v>Senegal</v>
      </c>
      <c r="G162" s="14" t="s">
        <v>306</v>
      </c>
      <c r="H162" s="14"/>
      <c r="I162" s="14" t="str">
        <f>IFERROR(INDEX(Matches!$C$2:$C$105,MATCH($B162,Matches!$A$2:$A$105,0)),"")</f>
        <v>First Stage</v>
      </c>
    </row>
    <row r="163" spans="1:9" x14ac:dyDescent="0.3">
      <c r="A163" s="14">
        <v>162</v>
      </c>
      <c r="B163" s="14">
        <v>62</v>
      </c>
      <c r="C163" s="14">
        <v>1014</v>
      </c>
      <c r="D163" s="14" t="str">
        <f>IFERROR(INDEX(Players!$B$2:$B$1249,MATCH($C163,Players!$A$2:$A$1249,0)),"")</f>
        <v>Pape Gueye</v>
      </c>
      <c r="E163" s="14">
        <v>34</v>
      </c>
      <c r="F163" s="14" t="str">
        <f>IFERROR(INDEX(Teams!$B$2:$B$49,MATCH($E163,Teams!$A$2:$A$49,0)),"")</f>
        <v>Senegal</v>
      </c>
      <c r="G163" s="14" t="s">
        <v>245</v>
      </c>
      <c r="H163" s="14"/>
      <c r="I163" s="14" t="str">
        <f>IFERROR(INDEX(Matches!$C$2:$C$105,MATCH($B163,Matches!$A$2:$A$105,0)),"")</f>
        <v>First Stage</v>
      </c>
    </row>
    <row r="164" spans="1:9" x14ac:dyDescent="0.3">
      <c r="A164" s="14">
        <v>163</v>
      </c>
      <c r="B164" s="14">
        <v>62</v>
      </c>
      <c r="C164" s="14">
        <v>1014</v>
      </c>
      <c r="D164" s="14" t="str">
        <f>IFERROR(INDEX(Players!$B$2:$B$1249,MATCH($C164,Players!$A$2:$A$1249,0)),"")</f>
        <v>Pape Gueye</v>
      </c>
      <c r="E164" s="14">
        <v>34</v>
      </c>
      <c r="F164" s="14" t="str">
        <f>IFERROR(INDEX(Teams!$B$2:$B$49,MATCH($E164,Teams!$A$2:$A$49,0)),"")</f>
        <v>Senegal</v>
      </c>
      <c r="G164" s="14" t="s">
        <v>323</v>
      </c>
      <c r="H164" s="14"/>
      <c r="I164" s="14" t="str">
        <f>IFERROR(INDEX(Matches!$C$2:$C$105,MATCH($B164,Matches!$A$2:$A$105,0)),"")</f>
        <v>First Stage</v>
      </c>
    </row>
    <row r="165" spans="1:9" x14ac:dyDescent="0.3">
      <c r="A165" s="14">
        <v>164</v>
      </c>
      <c r="B165" s="14">
        <v>62</v>
      </c>
      <c r="C165" s="14">
        <v>1001</v>
      </c>
      <c r="D165" s="14" t="str">
        <f>IFERROR(INDEX(Players!$B$2:$B$1249,MATCH($C165,Players!$A$2:$A$1249,0)),"")</f>
        <v>Iliman Ndiaye</v>
      </c>
      <c r="E165" s="14">
        <v>34</v>
      </c>
      <c r="F165" s="14" t="str">
        <f>IFERROR(INDEX(Teams!$B$2:$B$49,MATCH($E165,Teams!$A$2:$A$49,0)),"")</f>
        <v>Senegal</v>
      </c>
      <c r="G165" s="14" t="s">
        <v>312</v>
      </c>
      <c r="H165" s="14"/>
      <c r="I165" s="14" t="str">
        <f>IFERROR(INDEX(Matches!$C$2:$C$105,MATCH($B165,Matches!$A$2:$A$105,0)),"")</f>
        <v>First Stage</v>
      </c>
    </row>
    <row r="166" spans="1:9" x14ac:dyDescent="0.3">
      <c r="A166" s="14">
        <v>165</v>
      </c>
      <c r="B166" s="14">
        <v>19</v>
      </c>
      <c r="C166" s="14">
        <v>36</v>
      </c>
      <c r="D166" s="14" t="str">
        <f>IFERROR(INDEX(Players!$B$2:$B$1249,MATCH($C166,Players!$A$2:$A$1249,0)),"")</f>
        <v>Lionel Messi</v>
      </c>
      <c r="E166" s="14">
        <v>1</v>
      </c>
      <c r="F166" s="14" t="str">
        <f>IFERROR(INDEX(Teams!$B$2:$B$49,MATCH($E166,Teams!$A$2:$A$49,0)),"")</f>
        <v>Argentina</v>
      </c>
      <c r="G166" s="14" t="s">
        <v>257</v>
      </c>
      <c r="H166" s="14"/>
      <c r="I166" s="14" t="str">
        <f>IFERROR(INDEX(Matches!$C$2:$C$105,MATCH($B166,Matches!$A$2:$A$105,0)),"")</f>
        <v>First Stage</v>
      </c>
    </row>
    <row r="167" spans="1:9" x14ac:dyDescent="0.3">
      <c r="A167" s="14">
        <v>166</v>
      </c>
      <c r="B167" s="14">
        <v>19</v>
      </c>
      <c r="C167" s="14">
        <v>36</v>
      </c>
      <c r="D167" s="14" t="str">
        <f>IFERROR(INDEX(Players!$B$2:$B$1249,MATCH($C167,Players!$A$2:$A$1249,0)),"")</f>
        <v>Lionel Messi</v>
      </c>
      <c r="E167" s="14">
        <v>1</v>
      </c>
      <c r="F167" s="14" t="str">
        <f>IFERROR(INDEX(Teams!$B$2:$B$49,MATCH($E167,Teams!$A$2:$A$49,0)),"")</f>
        <v>Argentina</v>
      </c>
      <c r="G167" s="14" t="s">
        <v>280</v>
      </c>
      <c r="H167" s="14"/>
      <c r="I167" s="14" t="str">
        <f>IFERROR(INDEX(Matches!$C$2:$C$105,MATCH($B167,Matches!$A$2:$A$105,0)),"")</f>
        <v>First Stage</v>
      </c>
    </row>
    <row r="168" spans="1:9" x14ac:dyDescent="0.3">
      <c r="A168" s="14">
        <v>167</v>
      </c>
      <c r="B168" s="14">
        <v>19</v>
      </c>
      <c r="C168" s="14">
        <v>36</v>
      </c>
      <c r="D168" s="14" t="str">
        <f>IFERROR(INDEX(Players!$B$2:$B$1249,MATCH($C168,Players!$A$2:$A$1249,0)),"")</f>
        <v>Lionel Messi</v>
      </c>
      <c r="E168" s="14">
        <v>1</v>
      </c>
      <c r="F168" s="14" t="str">
        <f>IFERROR(INDEX(Teams!$B$2:$B$49,MATCH($E168,Teams!$A$2:$A$49,0)),"")</f>
        <v>Argentina</v>
      </c>
      <c r="G168" s="14" t="s">
        <v>271</v>
      </c>
      <c r="H168" s="14"/>
      <c r="I168" s="14" t="str">
        <f>IFERROR(INDEX(Matches!$C$2:$C$105,MATCH($B168,Matches!$A$2:$A$105,0)),"")</f>
        <v>First Stage</v>
      </c>
    </row>
    <row r="169" spans="1:9" x14ac:dyDescent="0.3">
      <c r="A169" s="14">
        <v>168</v>
      </c>
      <c r="B169" s="14">
        <v>20</v>
      </c>
      <c r="C169" s="14">
        <v>96</v>
      </c>
      <c r="D169" s="14" t="str">
        <f>IFERROR(INDEX(Players!$B$2:$B$1249,MATCH($C169,Players!$A$2:$A$1249,0)),"")</f>
        <v>Romano Schmid</v>
      </c>
      <c r="E169" s="14">
        <v>14</v>
      </c>
      <c r="F169" s="14" t="str">
        <f>IFERROR(INDEX(Teams!$B$2:$B$49,MATCH($E169,Teams!$A$2:$A$49,0)),"")</f>
        <v>Austria</v>
      </c>
      <c r="G169" s="14" t="s">
        <v>255</v>
      </c>
      <c r="H169" s="14"/>
      <c r="I169" s="14" t="str">
        <f>IFERROR(INDEX(Matches!$C$2:$C$105,MATCH($B169,Matches!$A$2:$A$105,0)),"")</f>
        <v>First Stage</v>
      </c>
    </row>
    <row r="170" spans="1:9" x14ac:dyDescent="0.3">
      <c r="A170" s="14">
        <v>169</v>
      </c>
      <c r="B170" s="14">
        <v>20</v>
      </c>
      <c r="C170" s="14">
        <v>655</v>
      </c>
      <c r="D170" s="14" t="str">
        <f>IFERROR(INDEX(Players!$B$2:$B$1249,MATCH($C170,Players!$A$2:$A$1249,0)),"")</f>
        <v>Yazan Alarab</v>
      </c>
      <c r="E170" s="14">
        <v>14</v>
      </c>
      <c r="F170" s="14" t="str">
        <f>IFERROR(INDEX(Teams!$B$2:$B$49,MATCH($E170,Teams!$A$2:$A$49,0)),"")</f>
        <v>Austria</v>
      </c>
      <c r="G170" s="14" t="s">
        <v>271</v>
      </c>
      <c r="H170" s="14" t="s">
        <v>256</v>
      </c>
      <c r="I170" s="14" t="str">
        <f>IFERROR(INDEX(Matches!$C$2:$C$105,MATCH($B170,Matches!$A$2:$A$105,0)),"")</f>
        <v>First Stage</v>
      </c>
    </row>
    <row r="171" spans="1:9" x14ac:dyDescent="0.3">
      <c r="A171" s="14">
        <v>170</v>
      </c>
      <c r="B171" s="14">
        <v>20</v>
      </c>
      <c r="C171" s="14">
        <v>85</v>
      </c>
      <c r="D171" s="14" t="str">
        <f>IFERROR(INDEX(Players!$B$2:$B$1249,MATCH($C171,Players!$A$2:$A$1249,0)),"")</f>
        <v>Marko Arnautovic</v>
      </c>
      <c r="E171" s="14">
        <v>14</v>
      </c>
      <c r="F171" s="14" t="str">
        <f>IFERROR(INDEX(Teams!$B$2:$B$49,MATCH($E171,Teams!$A$2:$A$49,0)),"")</f>
        <v>Austria</v>
      </c>
      <c r="G171" s="14" t="s">
        <v>324</v>
      </c>
      <c r="H171" s="14" t="s">
        <v>248</v>
      </c>
      <c r="I171" s="14" t="str">
        <f>IFERROR(INDEX(Matches!$C$2:$C$105,MATCH($B171,Matches!$A$2:$A$105,0)),"")</f>
        <v>First Stage</v>
      </c>
    </row>
    <row r="172" spans="1:9" x14ac:dyDescent="0.3">
      <c r="A172" s="14">
        <v>171</v>
      </c>
      <c r="B172" s="14">
        <v>20</v>
      </c>
      <c r="C172" s="14">
        <v>659</v>
      </c>
      <c r="D172" s="14" t="str">
        <f>IFERROR(INDEX(Players!$B$2:$B$1249,MATCH($C172,Players!$A$2:$A$1249,0)),"")</f>
        <v>Ali Olwan</v>
      </c>
      <c r="E172" s="14">
        <v>41</v>
      </c>
      <c r="F172" s="14" t="str">
        <f>IFERROR(INDEX(Teams!$B$2:$B$49,MATCH($E172,Teams!$A$2:$A$49,0)),"")</f>
        <v>Jordan</v>
      </c>
      <c r="G172" s="14" t="s">
        <v>249</v>
      </c>
      <c r="H172" s="14"/>
      <c r="I172" s="14" t="str">
        <f>IFERROR(INDEX(Matches!$C$2:$C$105,MATCH($B172,Matches!$A$2:$A$105,0)),"")</f>
        <v>First Stage</v>
      </c>
    </row>
    <row r="173" spans="1:9" x14ac:dyDescent="0.3">
      <c r="A173" s="14">
        <v>172</v>
      </c>
      <c r="B173" s="14">
        <v>43</v>
      </c>
      <c r="C173" s="14">
        <v>36</v>
      </c>
      <c r="D173" s="14" t="str">
        <f>IFERROR(INDEX(Players!$B$2:$B$1249,MATCH($C173,Players!$A$2:$A$1249,0)),"")</f>
        <v>Lionel Messi</v>
      </c>
      <c r="E173" s="14">
        <v>1</v>
      </c>
      <c r="F173" s="14" t="str">
        <f>IFERROR(INDEX(Teams!$B$2:$B$49,MATCH($E173,Teams!$A$2:$A$49,0)),"")</f>
        <v>Argentina</v>
      </c>
      <c r="G173" s="14" t="s">
        <v>294</v>
      </c>
      <c r="H173" s="14"/>
      <c r="I173" s="14" t="str">
        <f>IFERROR(INDEX(Matches!$C$2:$C$105,MATCH($B173,Matches!$A$2:$A$105,0)),"")</f>
        <v>First Stage</v>
      </c>
    </row>
    <row r="174" spans="1:9" x14ac:dyDescent="0.3">
      <c r="A174" s="14">
        <v>173</v>
      </c>
      <c r="B174" s="14">
        <v>43</v>
      </c>
      <c r="C174" s="14">
        <v>36</v>
      </c>
      <c r="D174" s="14" t="str">
        <f>IFERROR(INDEX(Players!$B$2:$B$1249,MATCH($C174,Players!$A$2:$A$1249,0)),"")</f>
        <v>Lionel Messi</v>
      </c>
      <c r="E174" s="14">
        <v>1</v>
      </c>
      <c r="F174" s="14" t="str">
        <f>IFERROR(INDEX(Teams!$B$2:$B$49,MATCH($E174,Teams!$A$2:$A$49,0)),"")</f>
        <v>Argentina</v>
      </c>
      <c r="G174" s="14" t="s">
        <v>319</v>
      </c>
      <c r="H174" s="14"/>
      <c r="I174" s="14" t="str">
        <f>IFERROR(INDEX(Matches!$C$2:$C$105,MATCH($B174,Matches!$A$2:$A$105,0)),"")</f>
        <v>First Stage</v>
      </c>
    </row>
    <row r="175" spans="1:9" x14ac:dyDescent="0.3">
      <c r="A175" s="14">
        <v>174</v>
      </c>
      <c r="B175" s="14">
        <v>44</v>
      </c>
      <c r="C175" s="14">
        <v>671</v>
      </c>
      <c r="D175" s="14" t="str">
        <f>IFERROR(INDEX(Players!$B$2:$B$1249,MATCH($C175,Players!$A$2:$A$1249,0)),"")</f>
        <v>Nizar Alrashdan</v>
      </c>
      <c r="E175" s="14">
        <v>41</v>
      </c>
      <c r="F175" s="14" t="str">
        <f>IFERROR(INDEX(Teams!$B$2:$B$49,MATCH($E175,Teams!$A$2:$A$49,0)),"")</f>
        <v>Jordan</v>
      </c>
      <c r="G175" s="14" t="s">
        <v>278</v>
      </c>
      <c r="H175" s="14"/>
      <c r="I175" s="14" t="str">
        <f>IFERROR(INDEX(Matches!$C$2:$C$105,MATCH($B175,Matches!$A$2:$A$105,0)),"")</f>
        <v>First Stage</v>
      </c>
    </row>
    <row r="176" spans="1:9" x14ac:dyDescent="0.3">
      <c r="A176" s="14">
        <v>175</v>
      </c>
      <c r="B176" s="14">
        <v>44</v>
      </c>
      <c r="C176" s="14">
        <v>12</v>
      </c>
      <c r="D176" s="14" t="str">
        <f>IFERROR(INDEX(Players!$B$2:$B$1249,MATCH($C176,Players!$A$2:$A$1249,0)),"")</f>
        <v>Nadhir Benbouali</v>
      </c>
      <c r="E176" s="14">
        <v>25</v>
      </c>
      <c r="F176" s="14" t="str">
        <f>IFERROR(INDEX(Teams!$B$2:$B$49,MATCH($E176,Teams!$A$2:$A$49,0)),"")</f>
        <v>Algeria</v>
      </c>
      <c r="G176" s="14" t="s">
        <v>305</v>
      </c>
      <c r="H176" s="14"/>
      <c r="I176" s="14" t="str">
        <f>IFERROR(INDEX(Matches!$C$2:$C$105,MATCH($B176,Matches!$A$2:$A$105,0)),"")</f>
        <v>First Stage</v>
      </c>
    </row>
    <row r="177" spans="1:9" x14ac:dyDescent="0.3">
      <c r="A177" s="14">
        <v>176</v>
      </c>
      <c r="B177" s="14">
        <v>44</v>
      </c>
      <c r="C177" s="14">
        <v>9</v>
      </c>
      <c r="D177" s="14" t="str">
        <f>IFERROR(INDEX(Players!$B$2:$B$1249,MATCH($C177,Players!$A$2:$A$1249,0)),"")</f>
        <v>Amine Gouiri</v>
      </c>
      <c r="E177" s="14">
        <v>25</v>
      </c>
      <c r="F177" s="14" t="str">
        <f>IFERROR(INDEX(Teams!$B$2:$B$49,MATCH($E177,Teams!$A$2:$A$49,0)),"")</f>
        <v>Algeria</v>
      </c>
      <c r="G177" s="14" t="s">
        <v>312</v>
      </c>
      <c r="H177" s="14"/>
      <c r="I177" s="14" t="str">
        <f>IFERROR(INDEX(Matches!$C$2:$C$105,MATCH($B177,Matches!$A$2:$A$105,0)),"")</f>
        <v>First Stage</v>
      </c>
    </row>
    <row r="178" spans="1:9" x14ac:dyDescent="0.3">
      <c r="A178" s="14">
        <v>177</v>
      </c>
      <c r="B178" s="14">
        <v>69</v>
      </c>
      <c r="C178" s="14">
        <v>17</v>
      </c>
      <c r="D178" s="14" t="str">
        <f>IFERROR(INDEX(Players!$B$2:$B$1249,MATCH($C178,Players!$A$2:$A$1249,0)),"")</f>
        <v>Rafik Belghali</v>
      </c>
      <c r="E178" s="14">
        <v>25</v>
      </c>
      <c r="F178" s="14" t="str">
        <f>IFERROR(INDEX(Teams!$B$2:$B$49,MATCH($E178,Teams!$A$2:$A$49,0)),"")</f>
        <v>Algeria</v>
      </c>
      <c r="G178" s="14" t="s">
        <v>325</v>
      </c>
      <c r="H178" s="14"/>
      <c r="I178" s="14" t="str">
        <f>IFERROR(INDEX(Matches!$C$2:$C$105,MATCH($B178,Matches!$A$2:$A$105,0)),"")</f>
        <v>First Stage</v>
      </c>
    </row>
    <row r="179" spans="1:9" x14ac:dyDescent="0.3">
      <c r="A179" s="14">
        <v>178</v>
      </c>
      <c r="B179" s="14">
        <v>69</v>
      </c>
      <c r="C179" s="14">
        <v>7</v>
      </c>
      <c r="D179" s="14" t="str">
        <f>IFERROR(INDEX(Players!$B$2:$B$1249,MATCH($C179,Players!$A$2:$A$1249,0)),"")</f>
        <v>Riyad Mahrez</v>
      </c>
      <c r="E179" s="14">
        <v>25</v>
      </c>
      <c r="F179" s="14" t="str">
        <f>IFERROR(INDEX(Teams!$B$2:$B$49,MATCH($E179,Teams!$A$2:$A$49,0)),"")</f>
        <v>Algeria</v>
      </c>
      <c r="G179" s="14" t="s">
        <v>280</v>
      </c>
      <c r="H179" s="14"/>
      <c r="I179" s="14" t="str">
        <f>IFERROR(INDEX(Matches!$C$2:$C$105,MATCH($B179,Matches!$A$2:$A$105,0)),"")</f>
        <v>First Stage</v>
      </c>
    </row>
    <row r="180" spans="1:9" x14ac:dyDescent="0.3">
      <c r="A180" s="14">
        <v>179</v>
      </c>
      <c r="B180" s="14">
        <v>69</v>
      </c>
      <c r="C180" s="14">
        <v>7</v>
      </c>
      <c r="D180" s="14" t="str">
        <f>IFERROR(INDEX(Players!$B$2:$B$1249,MATCH($C180,Players!$A$2:$A$1249,0)),"")</f>
        <v>Riyad Mahrez</v>
      </c>
      <c r="E180" s="14">
        <v>25</v>
      </c>
      <c r="F180" s="14" t="str">
        <f>IFERROR(INDEX(Teams!$B$2:$B$49,MATCH($E180,Teams!$A$2:$A$49,0)),"")</f>
        <v>Algeria</v>
      </c>
      <c r="G180" s="14" t="s">
        <v>262</v>
      </c>
      <c r="H180" s="14"/>
      <c r="I180" s="14" t="str">
        <f>IFERROR(INDEX(Matches!$C$2:$C$105,MATCH($B180,Matches!$A$2:$A$105,0)),"")</f>
        <v>First Stage</v>
      </c>
    </row>
    <row r="181" spans="1:9" x14ac:dyDescent="0.3">
      <c r="A181" s="14">
        <v>180</v>
      </c>
      <c r="B181" s="14">
        <v>69</v>
      </c>
      <c r="C181" s="14">
        <v>85</v>
      </c>
      <c r="D181" s="14" t="str">
        <f>IFERROR(INDEX(Players!$B$2:$B$1249,MATCH($C181,Players!$A$2:$A$1249,0)),"")</f>
        <v>Marko Arnautovic</v>
      </c>
      <c r="E181" s="14">
        <v>14</v>
      </c>
      <c r="F181" s="14" t="str">
        <f>IFERROR(INDEX(Teams!$B$2:$B$49,MATCH($E181,Teams!$A$2:$A$49,0)),"")</f>
        <v>Austria</v>
      </c>
      <c r="G181" s="14" t="s">
        <v>275</v>
      </c>
      <c r="H181" s="14"/>
      <c r="I181" s="14" t="str">
        <f>IFERROR(INDEX(Matches!$C$2:$C$105,MATCH($B181,Matches!$A$2:$A$105,0)),"")</f>
        <v>First Stage</v>
      </c>
    </row>
    <row r="182" spans="1:9" x14ac:dyDescent="0.3">
      <c r="A182" s="14">
        <v>181</v>
      </c>
      <c r="B182" s="14">
        <v>69</v>
      </c>
      <c r="C182" s="14">
        <v>87</v>
      </c>
      <c r="D182" s="14" t="str">
        <f>IFERROR(INDEX(Players!$B$2:$B$1249,MATCH($C182,Players!$A$2:$A$1249,0)),"")</f>
        <v>Marcel Sabitzer</v>
      </c>
      <c r="E182" s="14">
        <v>14</v>
      </c>
      <c r="F182" s="14" t="str">
        <f>IFERROR(INDEX(Teams!$B$2:$B$49,MATCH($E182,Teams!$A$2:$A$49,0)),"")</f>
        <v>Austria</v>
      </c>
      <c r="G182" s="14" t="s">
        <v>250</v>
      </c>
      <c r="H182" s="14"/>
      <c r="I182" s="14" t="str">
        <f>IFERROR(INDEX(Matches!$C$2:$C$105,MATCH($B182,Matches!$A$2:$A$105,0)),"")</f>
        <v>First Stage</v>
      </c>
    </row>
    <row r="183" spans="1:9" x14ac:dyDescent="0.3">
      <c r="A183" s="14">
        <v>182</v>
      </c>
      <c r="B183" s="14">
        <v>69</v>
      </c>
      <c r="C183" s="14">
        <v>92</v>
      </c>
      <c r="D183" s="14" t="str">
        <f>IFERROR(INDEX(Players!$B$2:$B$1249,MATCH($C183,Players!$A$2:$A$1249,0)),"")</f>
        <v>Sasa Kalajdzic</v>
      </c>
      <c r="E183" s="14">
        <v>14</v>
      </c>
      <c r="F183" s="14" t="str">
        <f>IFERROR(INDEX(Teams!$B$2:$B$49,MATCH($E183,Teams!$A$2:$A$49,0)),"")</f>
        <v>Austria</v>
      </c>
      <c r="G183" s="14" t="s">
        <v>301</v>
      </c>
      <c r="H183" s="14"/>
      <c r="I183" s="14" t="str">
        <f>IFERROR(INDEX(Matches!$C$2:$C$105,MATCH($B183,Matches!$A$2:$A$105,0)),"")</f>
        <v>First Stage</v>
      </c>
    </row>
    <row r="184" spans="1:9" x14ac:dyDescent="0.3">
      <c r="A184" s="14">
        <v>183</v>
      </c>
      <c r="B184" s="14">
        <v>70</v>
      </c>
      <c r="C184" s="14">
        <v>660</v>
      </c>
      <c r="D184" s="14" t="str">
        <f>IFERROR(INDEX(Players!$B$2:$B$1249,MATCH($C184,Players!$A$2:$A$1249,0)),"")</f>
        <v>Mousa Altamari</v>
      </c>
      <c r="E184" s="14">
        <v>41</v>
      </c>
      <c r="F184" s="14" t="str">
        <f>IFERROR(INDEX(Teams!$B$2:$B$49,MATCH($E184,Teams!$A$2:$A$49,0)),"")</f>
        <v>Jordan</v>
      </c>
      <c r="G184" s="14" t="s">
        <v>250</v>
      </c>
      <c r="H184" s="14"/>
      <c r="I184" s="14" t="str">
        <f>IFERROR(INDEX(Matches!$C$2:$C$105,MATCH($B184,Matches!$A$2:$A$105,0)),"")</f>
        <v>First Stage</v>
      </c>
    </row>
    <row r="185" spans="1:9" x14ac:dyDescent="0.3">
      <c r="A185" s="14">
        <v>184</v>
      </c>
      <c r="B185" s="14">
        <v>70</v>
      </c>
      <c r="C185" s="14">
        <v>37</v>
      </c>
      <c r="D185" s="14" t="str">
        <f>IFERROR(INDEX(Players!$B$2:$B$1249,MATCH($C185,Players!$A$2:$A$1249,0)),"")</f>
        <v>Giovani Lo Celso</v>
      </c>
      <c r="E185" s="14">
        <v>1</v>
      </c>
      <c r="F185" s="14" t="str">
        <f>IFERROR(INDEX(Teams!$B$2:$B$49,MATCH($E185,Teams!$A$2:$A$49,0)),"")</f>
        <v>Argentina</v>
      </c>
      <c r="G185" s="14" t="s">
        <v>309</v>
      </c>
      <c r="H185" s="14"/>
      <c r="I185" s="14" t="str">
        <f>IFERROR(INDEX(Matches!$C$2:$C$105,MATCH($B185,Matches!$A$2:$A$105,0)),"")</f>
        <v>First Stage</v>
      </c>
    </row>
    <row r="186" spans="1:9" x14ac:dyDescent="0.3">
      <c r="A186" s="14">
        <v>185</v>
      </c>
      <c r="B186" s="14">
        <v>70</v>
      </c>
      <c r="C186" s="14">
        <v>48</v>
      </c>
      <c r="D186" s="14" t="str">
        <f>IFERROR(INDEX(Players!$B$2:$B$1249,MATCH($C186,Players!$A$2:$A$1249,0)),"")</f>
        <v>Lautaro Martinez</v>
      </c>
      <c r="E186" s="14">
        <v>1</v>
      </c>
      <c r="F186" s="14" t="str">
        <f>IFERROR(INDEX(Teams!$B$2:$B$49,MATCH($E186,Teams!$A$2:$A$49,0)),"")</f>
        <v>Argentina</v>
      </c>
      <c r="G186" s="14" t="s">
        <v>286</v>
      </c>
      <c r="H186" s="14" t="s">
        <v>248</v>
      </c>
      <c r="I186" s="14" t="str">
        <f>IFERROR(INDEX(Matches!$C$2:$C$105,MATCH($B186,Matches!$A$2:$A$105,0)),"")</f>
        <v>First Stage</v>
      </c>
    </row>
    <row r="187" spans="1:9" x14ac:dyDescent="0.3">
      <c r="A187" s="14">
        <v>186</v>
      </c>
      <c r="B187" s="14">
        <v>70</v>
      </c>
      <c r="C187" s="14">
        <v>36</v>
      </c>
      <c r="D187" s="14" t="str">
        <f>IFERROR(INDEX(Players!$B$2:$B$1249,MATCH($C187,Players!$A$2:$A$1249,0)),"")</f>
        <v>Lionel Messi</v>
      </c>
      <c r="E187" s="14">
        <v>1</v>
      </c>
      <c r="F187" s="14" t="str">
        <f>IFERROR(INDEX(Teams!$B$2:$B$49,MATCH($E187,Teams!$A$2:$A$49,0)),"")</f>
        <v>Argentina</v>
      </c>
      <c r="G187" s="14" t="s">
        <v>244</v>
      </c>
      <c r="H187" s="14"/>
      <c r="I187" s="14" t="str">
        <f>IFERROR(INDEX(Matches!$C$2:$C$105,MATCH($B187,Matches!$A$2:$A$105,0)),"")</f>
        <v>First Stage</v>
      </c>
    </row>
    <row r="188" spans="1:9" x14ac:dyDescent="0.3">
      <c r="A188" s="14">
        <v>187</v>
      </c>
      <c r="B188" s="14">
        <v>23</v>
      </c>
      <c r="C188" s="14">
        <v>899</v>
      </c>
      <c r="D188" s="14" t="str">
        <f>IFERROR(INDEX(Players!$B$2:$B$1249,MATCH($C188,Players!$A$2:$A$1249,0)),"")</f>
        <v>Joao Neves</v>
      </c>
      <c r="E188" s="14">
        <v>23</v>
      </c>
      <c r="F188" s="14" t="str">
        <f>IFERROR(INDEX(Teams!$B$2:$B$49,MATCH($E188,Teams!$A$2:$A$49,0)),"")</f>
        <v>Portugal</v>
      </c>
      <c r="G188" s="14" t="s">
        <v>246</v>
      </c>
      <c r="H188" s="14"/>
      <c r="I188" s="14" t="str">
        <f>IFERROR(INDEX(Matches!$C$2:$C$105,MATCH($B188,Matches!$A$2:$A$105,0)),"")</f>
        <v>First Stage</v>
      </c>
    </row>
    <row r="189" spans="1:9" x14ac:dyDescent="0.3">
      <c r="A189" s="14">
        <v>188</v>
      </c>
      <c r="B189" s="14">
        <v>23</v>
      </c>
      <c r="C189" s="14">
        <v>280</v>
      </c>
      <c r="D189" s="14" t="str">
        <f>IFERROR(INDEX(Players!$B$2:$B$1249,MATCH($C189,Players!$A$2:$A$1249,0)),"")</f>
        <v>Yoane Wissa</v>
      </c>
      <c r="E189" s="14">
        <v>27</v>
      </c>
      <c r="F189" s="14" t="str">
        <f>IFERROR(INDEX(Teams!$B$2:$B$49,MATCH($E189,Teams!$A$2:$A$49,0)),"")</f>
        <v>Congo DR</v>
      </c>
      <c r="G189" s="14" t="s">
        <v>287</v>
      </c>
      <c r="H189" s="14"/>
      <c r="I189" s="14" t="str">
        <f>IFERROR(INDEX(Matches!$C$2:$C$105,MATCH($B189,Matches!$A$2:$A$105,0)),"")</f>
        <v>First Stage</v>
      </c>
    </row>
    <row r="190" spans="1:9" x14ac:dyDescent="0.3">
      <c r="A190" s="14">
        <v>189</v>
      </c>
      <c r="B190" s="14">
        <v>24</v>
      </c>
      <c r="C190" s="14">
        <v>1244</v>
      </c>
      <c r="D190" s="14" t="str">
        <f>IFERROR(INDEX(Players!$B$2:$B$1249,MATCH($C190,Players!$A$2:$A$1249,0)),"")</f>
        <v>Abbosbek Fayzullaev</v>
      </c>
      <c r="E190" s="14">
        <v>48</v>
      </c>
      <c r="F190" s="14" t="str">
        <f>IFERROR(INDEX(Teams!$B$2:$B$49,MATCH($E190,Teams!$A$2:$A$49,0)),"")</f>
        <v>Uzbekistan</v>
      </c>
      <c r="G190" s="14" t="s">
        <v>280</v>
      </c>
      <c r="H190" s="14"/>
      <c r="I190" s="14" t="str">
        <f>IFERROR(INDEX(Matches!$C$2:$C$105,MATCH($B190,Matches!$A$2:$A$105,0)),"")</f>
        <v>First Stage</v>
      </c>
    </row>
    <row r="191" spans="1:9" x14ac:dyDescent="0.3">
      <c r="A191" s="14">
        <v>190</v>
      </c>
      <c r="B191" s="14">
        <v>24</v>
      </c>
      <c r="C191" s="14">
        <v>236</v>
      </c>
      <c r="D191" s="14" t="str">
        <f>IFERROR(INDEX(Players!$B$2:$B$1249,MATCH($C191,Players!$A$2:$A$1249,0)),"")</f>
        <v>Daniel Munoz</v>
      </c>
      <c r="E191" s="14">
        <v>4</v>
      </c>
      <c r="F191" s="14" t="str">
        <f>IFERROR(INDEX(Teams!$B$2:$B$49,MATCH($E191,Teams!$A$2:$A$49,0)),"")</f>
        <v>Colombia</v>
      </c>
      <c r="G191" s="14" t="s">
        <v>326</v>
      </c>
      <c r="H191" s="14"/>
      <c r="I191" s="14" t="str">
        <f>IFERROR(INDEX(Matches!$C$2:$C$105,MATCH($B191,Matches!$A$2:$A$105,0)),"")</f>
        <v>First Stage</v>
      </c>
    </row>
    <row r="192" spans="1:9" x14ac:dyDescent="0.3">
      <c r="A192" s="14">
        <v>191</v>
      </c>
      <c r="B192" s="14">
        <v>24</v>
      </c>
      <c r="C192" s="14">
        <v>241</v>
      </c>
      <c r="D192" s="14" t="str">
        <f>IFERROR(INDEX(Players!$B$2:$B$1249,MATCH($C192,Players!$A$2:$A$1249,0)),"")</f>
        <v>Luis Diaz</v>
      </c>
      <c r="E192" s="14">
        <v>4</v>
      </c>
      <c r="F192" s="14" t="str">
        <f>IFERROR(INDEX(Teams!$B$2:$B$49,MATCH($E192,Teams!$A$2:$A$49,0)),"")</f>
        <v>Colombia</v>
      </c>
      <c r="G192" s="14" t="s">
        <v>327</v>
      </c>
      <c r="H192" s="14"/>
      <c r="I192" s="14" t="str">
        <f>IFERROR(INDEX(Matches!$C$2:$C$105,MATCH($B192,Matches!$A$2:$A$105,0)),"")</f>
        <v>First Stage</v>
      </c>
    </row>
    <row r="193" spans="1:9" x14ac:dyDescent="0.3">
      <c r="A193" s="14">
        <v>192</v>
      </c>
      <c r="B193" s="14">
        <v>24</v>
      </c>
      <c r="C193" s="14">
        <v>255</v>
      </c>
      <c r="D193" s="14" t="str">
        <f>IFERROR(INDEX(Players!$B$2:$B$1249,MATCH($C193,Players!$A$2:$A$1249,0)),"")</f>
        <v>Jaminton Campaz</v>
      </c>
      <c r="E193" s="14">
        <v>4</v>
      </c>
      <c r="F193" s="14" t="str">
        <f>IFERROR(INDEX(Teams!$B$2:$B$49,MATCH($E193,Teams!$A$2:$A$49,0)),"")</f>
        <v>Colombia</v>
      </c>
      <c r="G193" s="14" t="s">
        <v>328</v>
      </c>
      <c r="H193" s="14"/>
      <c r="I193" s="14" t="str">
        <f>IFERROR(INDEX(Matches!$C$2:$C$105,MATCH($B193,Matches!$A$2:$A$105,0)),"")</f>
        <v>First Stage</v>
      </c>
    </row>
    <row r="194" spans="1:9" x14ac:dyDescent="0.3">
      <c r="A194" s="14">
        <v>193</v>
      </c>
      <c r="B194" s="14">
        <v>47</v>
      </c>
      <c r="C194" s="14">
        <v>891</v>
      </c>
      <c r="D194" s="14" t="str">
        <f>IFERROR(INDEX(Players!$B$2:$B$1249,MATCH($C194,Players!$A$2:$A$1249,0)),"")</f>
        <v>Cristiano Ronaldo</v>
      </c>
      <c r="E194" s="14">
        <v>23</v>
      </c>
      <c r="F194" s="14" t="str">
        <f>IFERROR(INDEX(Teams!$B$2:$B$49,MATCH($E194,Teams!$A$2:$A$49,0)),"")</f>
        <v>Portugal</v>
      </c>
      <c r="G194" s="14" t="s">
        <v>246</v>
      </c>
      <c r="H194" s="14"/>
      <c r="I194" s="14" t="str">
        <f>IFERROR(INDEX(Matches!$C$2:$C$105,MATCH($B194,Matches!$A$2:$A$105,0)),"")</f>
        <v>First Stage</v>
      </c>
    </row>
    <row r="195" spans="1:9" x14ac:dyDescent="0.3">
      <c r="A195" s="14">
        <v>194</v>
      </c>
      <c r="B195" s="14">
        <v>47</v>
      </c>
      <c r="C195" s="14">
        <v>909</v>
      </c>
      <c r="D195" s="14" t="str">
        <f>IFERROR(INDEX(Players!$B$2:$B$1249,MATCH($C195,Players!$A$2:$A$1249,0)),"")</f>
        <v>Nuno Mendes</v>
      </c>
      <c r="E195" s="14">
        <v>23</v>
      </c>
      <c r="F195" s="14" t="str">
        <f>IFERROR(INDEX(Teams!$B$2:$B$49,MATCH($E195,Teams!$A$2:$A$49,0)),"")</f>
        <v>Portugal</v>
      </c>
      <c r="G195" s="14" t="s">
        <v>257</v>
      </c>
      <c r="H195" s="14"/>
      <c r="I195" s="14" t="str">
        <f>IFERROR(INDEX(Matches!$C$2:$C$105,MATCH($B195,Matches!$A$2:$A$105,0)),"")</f>
        <v>First Stage</v>
      </c>
    </row>
    <row r="196" spans="1:9" x14ac:dyDescent="0.3">
      <c r="A196" s="14">
        <v>195</v>
      </c>
      <c r="B196" s="14">
        <v>47</v>
      </c>
      <c r="C196" s="14">
        <v>891</v>
      </c>
      <c r="D196" s="14" t="str">
        <f>IFERROR(INDEX(Players!$B$2:$B$1249,MATCH($C196,Players!$A$2:$A$1249,0)),"")</f>
        <v>Cristiano Ronaldo</v>
      </c>
      <c r="E196" s="14">
        <v>23</v>
      </c>
      <c r="F196" s="14" t="str">
        <f>IFERROR(INDEX(Teams!$B$2:$B$49,MATCH($E196,Teams!$A$2:$A$49,0)),"")</f>
        <v>Portugal</v>
      </c>
      <c r="G196" s="14" t="s">
        <v>281</v>
      </c>
      <c r="H196" s="14"/>
      <c r="I196" s="14" t="str">
        <f>IFERROR(INDEX(Matches!$C$2:$C$105,MATCH($B196,Matches!$A$2:$A$105,0)),"")</f>
        <v>First Stage</v>
      </c>
    </row>
    <row r="197" spans="1:9" x14ac:dyDescent="0.3">
      <c r="A197" s="14">
        <v>196</v>
      </c>
      <c r="B197" s="14">
        <v>47</v>
      </c>
      <c r="C197" s="14">
        <v>1234</v>
      </c>
      <c r="D197" s="14" t="str">
        <f>IFERROR(INDEX(Players!$B$2:$B$1249,MATCH($C197,Players!$A$2:$A$1249,0)),"")</f>
        <v>Abduvohid Nematov</v>
      </c>
      <c r="E197" s="14">
        <v>23</v>
      </c>
      <c r="F197" s="14" t="str">
        <f>IFERROR(INDEX(Teams!$B$2:$B$49,MATCH($E197,Teams!$A$2:$A$49,0)),"")</f>
        <v>Portugal</v>
      </c>
      <c r="G197" s="14" t="s">
        <v>280</v>
      </c>
      <c r="H197" s="14" t="s">
        <v>256</v>
      </c>
      <c r="I197" s="14" t="str">
        <f>IFERROR(INDEX(Matches!$C$2:$C$105,MATCH($B197,Matches!$A$2:$A$105,0)),"")</f>
        <v>First Stage</v>
      </c>
    </row>
    <row r="198" spans="1:9" x14ac:dyDescent="0.3">
      <c r="A198" s="14">
        <v>197</v>
      </c>
      <c r="B198" s="14">
        <v>47</v>
      </c>
      <c r="C198" s="14">
        <v>901</v>
      </c>
      <c r="D198" s="14" t="str">
        <f>IFERROR(INDEX(Players!$B$2:$B$1249,MATCH($C198,Players!$A$2:$A$1249,0)),"")</f>
        <v>Rafael Leao</v>
      </c>
      <c r="E198" s="14">
        <v>23</v>
      </c>
      <c r="F198" s="14" t="str">
        <f>IFERROR(INDEX(Teams!$B$2:$B$49,MATCH($E198,Teams!$A$2:$A$49,0)),"")</f>
        <v>Portugal</v>
      </c>
      <c r="G198" s="14" t="s">
        <v>329</v>
      </c>
      <c r="H198" s="14"/>
      <c r="I198" s="14" t="str">
        <f>IFERROR(INDEX(Matches!$C$2:$C$105,MATCH($B198,Matches!$A$2:$A$105,0)),"")</f>
        <v>First Stage</v>
      </c>
    </row>
    <row r="199" spans="1:9" x14ac:dyDescent="0.3">
      <c r="A199" s="14">
        <v>198</v>
      </c>
      <c r="B199" s="14">
        <v>48</v>
      </c>
      <c r="C199" s="14">
        <v>236</v>
      </c>
      <c r="D199" s="14" t="str">
        <f>IFERROR(INDEX(Players!$B$2:$B$1249,MATCH($C199,Players!$A$2:$A$1249,0)),"")</f>
        <v>Daniel Munoz</v>
      </c>
      <c r="E199" s="14">
        <v>4</v>
      </c>
      <c r="F199" s="14" t="str">
        <f>IFERROR(INDEX(Teams!$B$2:$B$49,MATCH($E199,Teams!$A$2:$A$49,0)),"")</f>
        <v>Colombia</v>
      </c>
      <c r="G199" s="14" t="s">
        <v>271</v>
      </c>
      <c r="H199" s="14"/>
      <c r="I199" s="14" t="str">
        <f>IFERROR(INDEX(Matches!$C$2:$C$105,MATCH($B199,Matches!$A$2:$A$105,0)),"")</f>
        <v>First Stage</v>
      </c>
    </row>
    <row r="200" spans="1:9" x14ac:dyDescent="0.3">
      <c r="A200" s="14">
        <v>199</v>
      </c>
      <c r="B200" s="14">
        <v>72</v>
      </c>
      <c r="C200" s="14">
        <v>280</v>
      </c>
      <c r="D200" s="14" t="str">
        <f>IFERROR(INDEX(Players!$B$2:$B$1249,MATCH($C200,Players!$A$2:$A$1249,0)),"")</f>
        <v>Yoane Wissa</v>
      </c>
      <c r="E200" s="14">
        <v>27</v>
      </c>
      <c r="F200" s="14" t="str">
        <f>IFERROR(INDEX(Teams!$B$2:$B$49,MATCH($E200,Teams!$A$2:$A$49,0)),"")</f>
        <v>Congo DR</v>
      </c>
      <c r="G200" s="14" t="s">
        <v>296</v>
      </c>
      <c r="H200" s="14" t="s">
        <v>248</v>
      </c>
      <c r="I200" s="14" t="str">
        <f>IFERROR(INDEX(Matches!$C$2:$C$105,MATCH($B200,Matches!$A$2:$A$105,0)),"")</f>
        <v>First Stage</v>
      </c>
    </row>
    <row r="201" spans="1:9" x14ac:dyDescent="0.3">
      <c r="A201" s="14">
        <v>200</v>
      </c>
      <c r="B201" s="14">
        <v>72</v>
      </c>
      <c r="C201" s="14">
        <v>279</v>
      </c>
      <c r="D201" s="14" t="str">
        <f>IFERROR(INDEX(Players!$B$2:$B$1249,MATCH($C201,Players!$A$2:$A$1249,0)),"")</f>
        <v>Fiston Mayele</v>
      </c>
      <c r="E201" s="14">
        <v>27</v>
      </c>
      <c r="F201" s="14" t="str">
        <f>IFERROR(INDEX(Teams!$B$2:$B$49,MATCH($E201,Teams!$A$2:$A$49,0)),"")</f>
        <v>Congo DR</v>
      </c>
      <c r="G201" s="14" t="s">
        <v>254</v>
      </c>
      <c r="H201" s="14"/>
      <c r="I201" s="14" t="str">
        <f>IFERROR(INDEX(Matches!$C$2:$C$105,MATCH($B201,Matches!$A$2:$A$105,0)),"")</f>
        <v>First Stage</v>
      </c>
    </row>
    <row r="202" spans="1:9" x14ac:dyDescent="0.3">
      <c r="A202" s="14">
        <v>201</v>
      </c>
      <c r="B202" s="14">
        <v>72</v>
      </c>
      <c r="C202" s="14">
        <v>280</v>
      </c>
      <c r="D202" s="14" t="str">
        <f>IFERROR(INDEX(Players!$B$2:$B$1249,MATCH($C202,Players!$A$2:$A$1249,0)),"")</f>
        <v>Yoane Wissa</v>
      </c>
      <c r="E202" s="14">
        <v>27</v>
      </c>
      <c r="F202" s="14" t="str">
        <f>IFERROR(INDEX(Teams!$B$2:$B$49,MATCH($E202,Teams!$A$2:$A$49,0)),"")</f>
        <v>Congo DR</v>
      </c>
      <c r="G202" s="14" t="s">
        <v>330</v>
      </c>
      <c r="H202" s="14"/>
      <c r="I202" s="14" t="str">
        <f>IFERROR(INDEX(Matches!$C$2:$C$105,MATCH($B202,Matches!$A$2:$A$105,0)),"")</f>
        <v>First Stage</v>
      </c>
    </row>
    <row r="203" spans="1:9" x14ac:dyDescent="0.3">
      <c r="A203" s="14">
        <v>202</v>
      </c>
      <c r="B203" s="14">
        <v>72</v>
      </c>
      <c r="C203" s="14">
        <v>1236</v>
      </c>
      <c r="D203" s="14" t="str">
        <f>IFERROR(INDEX(Players!$B$2:$B$1249,MATCH($C203,Players!$A$2:$A$1249,0)),"")</f>
        <v>Eldor Shomurodov</v>
      </c>
      <c r="E203" s="14">
        <v>48</v>
      </c>
      <c r="F203" s="14" t="str">
        <f>IFERROR(INDEX(Teams!$B$2:$B$49,MATCH($E203,Teams!$A$2:$A$49,0)),"")</f>
        <v>Uzbekistan</v>
      </c>
      <c r="G203" s="14" t="s">
        <v>284</v>
      </c>
      <c r="H203" s="14"/>
      <c r="I203" s="14" t="str">
        <f>IFERROR(INDEX(Matches!$C$2:$C$105,MATCH($B203,Matches!$A$2:$A$105,0)),"")</f>
        <v>First Stage</v>
      </c>
    </row>
    <row r="204" spans="1:9" x14ac:dyDescent="0.3">
      <c r="A204" s="14">
        <v>203</v>
      </c>
      <c r="B204" s="14">
        <v>22</v>
      </c>
      <c r="C204" s="14">
        <v>451</v>
      </c>
      <c r="D204" s="14" t="str">
        <f>IFERROR(INDEX(Players!$B$2:$B$1249,MATCH($C204,Players!$A$2:$A$1249,0)),"")</f>
        <v>Harry Kane</v>
      </c>
      <c r="E204" s="14">
        <v>5</v>
      </c>
      <c r="F204" s="14" t="str">
        <f>IFERROR(INDEX(Teams!$B$2:$B$49,MATCH($E204,Teams!$A$2:$A$49,0)),"")</f>
        <v>England</v>
      </c>
      <c r="G204" s="14" t="s">
        <v>331</v>
      </c>
      <c r="H204" s="14" t="s">
        <v>248</v>
      </c>
      <c r="I204" s="14" t="str">
        <f>IFERROR(INDEX(Matches!$C$2:$C$105,MATCH($B204,Matches!$A$2:$A$105,0)),"")</f>
        <v>First Stage</v>
      </c>
    </row>
    <row r="205" spans="1:9" x14ac:dyDescent="0.3">
      <c r="A205" s="14">
        <v>204</v>
      </c>
      <c r="B205" s="14">
        <v>22</v>
      </c>
      <c r="C205" s="14">
        <v>451</v>
      </c>
      <c r="D205" s="14" t="str">
        <f>IFERROR(INDEX(Players!$B$2:$B$1249,MATCH($C205,Players!$A$2:$A$1249,0)),"")</f>
        <v>Harry Kane</v>
      </c>
      <c r="E205" s="14">
        <v>5</v>
      </c>
      <c r="F205" s="14" t="str">
        <f>IFERROR(INDEX(Teams!$B$2:$B$49,MATCH($E205,Teams!$A$2:$A$49,0)),"")</f>
        <v>England</v>
      </c>
      <c r="G205" s="14" t="s">
        <v>273</v>
      </c>
      <c r="H205" s="14"/>
      <c r="I205" s="14" t="str">
        <f>IFERROR(INDEX(Matches!$C$2:$C$105,MATCH($B205,Matches!$A$2:$A$105,0)),"")</f>
        <v>First Stage</v>
      </c>
    </row>
    <row r="206" spans="1:9" x14ac:dyDescent="0.3">
      <c r="A206" s="14">
        <v>205</v>
      </c>
      <c r="B206" s="14">
        <v>22</v>
      </c>
      <c r="C206" s="14">
        <v>452</v>
      </c>
      <c r="D206" s="14" t="str">
        <f>IFERROR(INDEX(Players!$B$2:$B$1249,MATCH($C206,Players!$A$2:$A$1249,0)),"")</f>
        <v>Jude Bellingham</v>
      </c>
      <c r="E206" s="14">
        <v>5</v>
      </c>
      <c r="F206" s="14" t="str">
        <f>IFERROR(INDEX(Teams!$B$2:$B$49,MATCH($E206,Teams!$A$2:$A$49,0)),"")</f>
        <v>England</v>
      </c>
      <c r="G206" s="14" t="s">
        <v>295</v>
      </c>
      <c r="H206" s="14"/>
      <c r="I206" s="14" t="str">
        <f>IFERROR(INDEX(Matches!$C$2:$C$105,MATCH($B206,Matches!$A$2:$A$105,0)),"")</f>
        <v>First Stage</v>
      </c>
    </row>
    <row r="207" spans="1:9" x14ac:dyDescent="0.3">
      <c r="A207" s="14">
        <v>206</v>
      </c>
      <c r="B207" s="14">
        <v>22</v>
      </c>
      <c r="C207" s="14">
        <v>453</v>
      </c>
      <c r="D207" s="14" t="str">
        <f>IFERROR(INDEX(Players!$B$2:$B$1249,MATCH($C207,Players!$A$2:$A$1249,0)),"")</f>
        <v>Marcus Rashford</v>
      </c>
      <c r="E207" s="14">
        <v>5</v>
      </c>
      <c r="F207" s="14" t="str">
        <f>IFERROR(INDEX(Teams!$B$2:$B$49,MATCH($E207,Teams!$A$2:$A$49,0)),"")</f>
        <v>England</v>
      </c>
      <c r="G207" s="14" t="s">
        <v>332</v>
      </c>
      <c r="H207" s="14"/>
      <c r="I207" s="14" t="str">
        <f>IFERROR(INDEX(Matches!$C$2:$C$105,MATCH($B207,Matches!$A$2:$A$105,0)),"")</f>
        <v>First Stage</v>
      </c>
    </row>
    <row r="208" spans="1:9" x14ac:dyDescent="0.3">
      <c r="A208" s="14">
        <v>207</v>
      </c>
      <c r="B208" s="14">
        <v>22</v>
      </c>
      <c r="C208" s="14">
        <v>328</v>
      </c>
      <c r="D208" s="14" t="str">
        <f>IFERROR(INDEX(Players!$B$2:$B$1249,MATCH($C208,Players!$A$2:$A$1249,0)),"")</f>
        <v>Martin Baturina</v>
      </c>
      <c r="E208" s="14">
        <v>18</v>
      </c>
      <c r="F208" s="14" t="str">
        <f>IFERROR(INDEX(Teams!$B$2:$B$49,MATCH($E208,Teams!$A$2:$A$49,0)),"")</f>
        <v>Croatia</v>
      </c>
      <c r="G208" s="14" t="s">
        <v>278</v>
      </c>
      <c r="H208" s="14"/>
      <c r="I208" s="14" t="str">
        <f>IFERROR(INDEX(Matches!$C$2:$C$105,MATCH($B208,Matches!$A$2:$A$105,0)),"")</f>
        <v>First Stage</v>
      </c>
    </row>
    <row r="209" spans="1:9" x14ac:dyDescent="0.3">
      <c r="A209" s="14">
        <v>208</v>
      </c>
      <c r="B209" s="14">
        <v>22</v>
      </c>
      <c r="C209" s="14">
        <v>338</v>
      </c>
      <c r="D209" s="14" t="str">
        <f>IFERROR(INDEX(Players!$B$2:$B$1249,MATCH($C209,Players!$A$2:$A$1249,0)),"")</f>
        <v>Petar Musa</v>
      </c>
      <c r="E209" s="14">
        <v>18</v>
      </c>
      <c r="F209" s="14" t="str">
        <f>IFERROR(INDEX(Teams!$B$2:$B$49,MATCH($E209,Teams!$A$2:$A$49,0)),"")</f>
        <v>Croatia</v>
      </c>
      <c r="G209" s="14" t="s">
        <v>287</v>
      </c>
      <c r="H209" s="14"/>
      <c r="I209" s="14" t="str">
        <f>IFERROR(INDEX(Matches!$C$2:$C$105,MATCH($B209,Matches!$A$2:$A$105,0)),"")</f>
        <v>First Stage</v>
      </c>
    </row>
    <row r="210" spans="1:9" x14ac:dyDescent="0.3">
      <c r="A210" s="14">
        <v>209</v>
      </c>
      <c r="B210" s="14">
        <v>21</v>
      </c>
      <c r="C210" s="14">
        <v>523</v>
      </c>
      <c r="D210" s="14" t="str">
        <f>IFERROR(INDEX(Players!$B$2:$B$1249,MATCH($C210,Players!$A$2:$A$1249,0)),"")</f>
        <v>Caleb Yirenkyi</v>
      </c>
      <c r="E210" s="14">
        <v>29</v>
      </c>
      <c r="F210" s="14" t="str">
        <f>IFERROR(INDEX(Teams!$B$2:$B$49,MATCH($E210,Teams!$A$2:$A$49,0)),"")</f>
        <v>Ghana</v>
      </c>
      <c r="G210" s="14" t="s">
        <v>319</v>
      </c>
      <c r="H210" s="14"/>
      <c r="I210" s="14" t="str">
        <f>IFERROR(INDEX(Matches!$C$2:$C$105,MATCH($B210,Matches!$A$2:$A$105,0)),"")</f>
        <v>First Stage</v>
      </c>
    </row>
    <row r="211" spans="1:9" x14ac:dyDescent="0.3">
      <c r="A211" s="14">
        <v>210</v>
      </c>
      <c r="B211" s="14">
        <v>46</v>
      </c>
      <c r="C211" s="14">
        <v>323</v>
      </c>
      <c r="D211" s="14" t="str">
        <f>IFERROR(INDEX(Players!$B$2:$B$1249,MATCH($C211,Players!$A$2:$A$1249,0)),"")</f>
        <v>Ante Budimir</v>
      </c>
      <c r="E211" s="14">
        <v>18</v>
      </c>
      <c r="F211" s="14" t="str">
        <f>IFERROR(INDEX(Teams!$B$2:$B$49,MATCH($E211,Teams!$A$2:$A$49,0)),"")</f>
        <v>Croatia</v>
      </c>
      <c r="G211" s="14" t="s">
        <v>303</v>
      </c>
      <c r="H211" s="14"/>
      <c r="I211" s="14" t="str">
        <f>IFERROR(INDEX(Matches!$C$2:$C$105,MATCH($B211,Matches!$A$2:$A$105,0)),"")</f>
        <v>First Stage</v>
      </c>
    </row>
    <row r="212" spans="1:9" x14ac:dyDescent="0.3">
      <c r="A212" s="14">
        <v>211</v>
      </c>
      <c r="B212" s="14">
        <v>67</v>
      </c>
      <c r="C212" s="14">
        <v>452</v>
      </c>
      <c r="D212" s="14" t="str">
        <f>IFERROR(INDEX(Players!$B$2:$B$1249,MATCH($C212,Players!$A$2:$A$1249,0)),"")</f>
        <v>Jude Bellingham</v>
      </c>
      <c r="E212" s="14">
        <v>5</v>
      </c>
      <c r="F212" s="14" t="str">
        <f>IFERROR(INDEX(Teams!$B$2:$B$49,MATCH($E212,Teams!$A$2:$A$49,0)),"")</f>
        <v>England</v>
      </c>
      <c r="G212" s="14" t="s">
        <v>307</v>
      </c>
      <c r="H212" s="14"/>
      <c r="I212" s="14" t="str">
        <f>IFERROR(INDEX(Matches!$C$2:$C$105,MATCH($B212,Matches!$A$2:$A$105,0)),"")</f>
        <v>First Stage</v>
      </c>
    </row>
    <row r="213" spans="1:9" x14ac:dyDescent="0.3">
      <c r="A213" s="14">
        <v>212</v>
      </c>
      <c r="B213" s="14">
        <v>67</v>
      </c>
      <c r="C213" s="14">
        <v>451</v>
      </c>
      <c r="D213" s="14" t="str">
        <f>IFERROR(INDEX(Players!$B$2:$B$1249,MATCH($C213,Players!$A$2:$A$1249,0)),"")</f>
        <v>Harry Kane</v>
      </c>
      <c r="E213" s="14">
        <v>5</v>
      </c>
      <c r="F213" s="14" t="str">
        <f>IFERROR(INDEX(Teams!$B$2:$B$49,MATCH($E213,Teams!$A$2:$A$49,0)),"")</f>
        <v>England</v>
      </c>
      <c r="G213" s="14" t="s">
        <v>243</v>
      </c>
      <c r="H213" s="14"/>
      <c r="I213" s="14" t="str">
        <f>IFERROR(INDEX(Matches!$C$2:$C$105,MATCH($B213,Matches!$A$2:$A$105,0)),"")</f>
        <v>First Stage</v>
      </c>
    </row>
    <row r="214" spans="1:9" x14ac:dyDescent="0.3">
      <c r="A214" s="14">
        <v>213</v>
      </c>
      <c r="B214" s="14">
        <v>68</v>
      </c>
      <c r="C214" s="14">
        <v>329</v>
      </c>
      <c r="D214" s="14" t="str">
        <f>IFERROR(INDEX(Players!$B$2:$B$1249,MATCH($C214,Players!$A$2:$A$1249,0)),"")</f>
        <v>Petar Sucic</v>
      </c>
      <c r="E214" s="14">
        <v>18</v>
      </c>
      <c r="F214" s="14" t="str">
        <f>IFERROR(INDEX(Teams!$B$2:$B$49,MATCH($E214,Teams!$A$2:$A$49,0)),"")</f>
        <v>Croatia</v>
      </c>
      <c r="G214" s="14" t="s">
        <v>286</v>
      </c>
      <c r="H214" s="14"/>
      <c r="I214" s="14" t="str">
        <f>IFERROR(INDEX(Matches!$C$2:$C$105,MATCH($B214,Matches!$A$2:$A$105,0)),"")</f>
        <v>First Stage</v>
      </c>
    </row>
    <row r="215" spans="1:9" x14ac:dyDescent="0.3">
      <c r="A215" s="14">
        <v>214</v>
      </c>
      <c r="B215" s="14">
        <v>68</v>
      </c>
      <c r="C215" s="14">
        <v>325</v>
      </c>
      <c r="D215" s="14" t="str">
        <f>IFERROR(INDEX(Players!$B$2:$B$1249,MATCH($C215,Players!$A$2:$A$1249,0)),"")</f>
        <v>Nikola Vlasic</v>
      </c>
      <c r="E215" s="14">
        <v>18</v>
      </c>
      <c r="F215" s="14" t="str">
        <f>IFERROR(INDEX(Teams!$B$2:$B$49,MATCH($E215,Teams!$A$2:$A$49,0)),"")</f>
        <v>Croatia</v>
      </c>
      <c r="G215" s="14" t="s">
        <v>247</v>
      </c>
      <c r="H215" s="14"/>
      <c r="I215" s="14" t="str">
        <f>IFERROR(INDEX(Matches!$C$2:$C$105,MATCH($B215,Matches!$A$2:$A$105,0)),"")</f>
        <v>First Stage</v>
      </c>
    </row>
    <row r="216" spans="1:9" x14ac:dyDescent="0.3">
      <c r="A216" s="14">
        <v>215</v>
      </c>
      <c r="B216" s="14">
        <v>68</v>
      </c>
      <c r="C216" s="14">
        <v>543</v>
      </c>
      <c r="D216" s="14" t="str">
        <f>IFERROR(INDEX(Players!$B$2:$B$1249,MATCH($C216,Players!$A$2:$A$1249,0)),"")</f>
        <v>Derrick Luckassen</v>
      </c>
      <c r="E216" s="14">
        <v>29</v>
      </c>
      <c r="F216" s="14" t="str">
        <f>IFERROR(INDEX(Teams!$B$2:$B$49,MATCH($E216,Teams!$A$2:$A$49,0)),"")</f>
        <v>Ghana</v>
      </c>
      <c r="G216" s="14" t="s">
        <v>289</v>
      </c>
      <c r="H216" s="14"/>
      <c r="I216" s="14" t="str">
        <f>IFERROR(INDEX(Matches!$C$2:$C$105,MATCH($B216,Matches!$A$2:$A$105,0)),"")</f>
        <v>First Stage</v>
      </c>
    </row>
    <row r="217" spans="1:9" x14ac:dyDescent="0.3">
      <c r="A217" s="14">
        <v>216</v>
      </c>
      <c r="B217" s="14">
        <v>73</v>
      </c>
      <c r="C217" s="14">
        <v>215</v>
      </c>
      <c r="D217" s="14" t="str">
        <f>IFERROR(INDEX(Players!$B$2:$B$1249,MATCH($C217,Players!$A$2:$A$1249,0)),"")</f>
        <v>Stephen Eustaquio</v>
      </c>
      <c r="E217" s="14">
        <v>16</v>
      </c>
      <c r="F217" s="14" t="str">
        <f>IFERROR(INDEX(Teams!$B$2:$B$49,MATCH($E217,Teams!$A$2:$A$49,0)),"")</f>
        <v>Canada</v>
      </c>
      <c r="G217" s="14" t="s">
        <v>268</v>
      </c>
      <c r="H217" s="14"/>
      <c r="I217" s="14" t="str">
        <f>IFERROR(INDEX(Matches!$C$2:$C$105,MATCH($B217,Matches!$A$2:$A$105,0)),"")</f>
        <v>Round of 32</v>
      </c>
    </row>
    <row r="218" spans="1:9" x14ac:dyDescent="0.3">
      <c r="A218" s="14">
        <v>217</v>
      </c>
      <c r="B218" s="14">
        <v>74</v>
      </c>
      <c r="C218" s="14">
        <v>501</v>
      </c>
      <c r="D218" s="14" t="str">
        <f>IFERROR(INDEX(Players!$B$2:$B$1249,MATCH($C218,Players!$A$2:$A$1249,0)),"")</f>
        <v>Kai Havertz</v>
      </c>
      <c r="E218" s="14">
        <v>7</v>
      </c>
      <c r="F218" s="14" t="str">
        <f>IFERROR(INDEX(Teams!$B$2:$B$49,MATCH($E218,Teams!$A$2:$A$49,0)),"")</f>
        <v>Germany</v>
      </c>
      <c r="G218" s="14" t="s">
        <v>303</v>
      </c>
      <c r="H218" s="14"/>
      <c r="I218" s="14" t="str">
        <f>IFERROR(INDEX(Matches!$C$2:$C$105,MATCH($B218,Matches!$A$2:$A$105,0)),"")</f>
        <v>Round of 32</v>
      </c>
    </row>
    <row r="219" spans="1:9" x14ac:dyDescent="0.3">
      <c r="A219" s="14">
        <v>218</v>
      </c>
      <c r="B219" s="14">
        <v>74</v>
      </c>
      <c r="C219" s="14">
        <v>877</v>
      </c>
      <c r="D219" s="14" t="str">
        <f>IFERROR(INDEX(Players!$B$2:$B$1249,MATCH($C219,Players!$A$2:$A$1249,0)),"")</f>
        <v>Julio Enciso</v>
      </c>
      <c r="E219" s="14">
        <v>32</v>
      </c>
      <c r="F219" s="14" t="str">
        <f>IFERROR(INDEX(Teams!$B$2:$B$49,MATCH($E219,Teams!$A$2:$A$49,0)),"")</f>
        <v>Paraguay</v>
      </c>
      <c r="G219" s="14" t="s">
        <v>273</v>
      </c>
      <c r="H219" s="14"/>
      <c r="I219" s="14" t="str">
        <f>IFERROR(INDEX(Matches!$C$2:$C$105,MATCH($B219,Matches!$A$2:$A$105,0)),"")</f>
        <v>Round of 32</v>
      </c>
    </row>
    <row r="220" spans="1:9" x14ac:dyDescent="0.3">
      <c r="A220" s="14">
        <v>219</v>
      </c>
      <c r="B220" s="14">
        <v>75</v>
      </c>
      <c r="C220" s="14">
        <v>765</v>
      </c>
      <c r="D220" s="14" t="str">
        <f>IFERROR(INDEX(Players!$B$2:$B$1249,MATCH($C220,Players!$A$2:$A$1249,0)),"")</f>
        <v>Cody Gakpo</v>
      </c>
      <c r="E220" s="14">
        <v>9</v>
      </c>
      <c r="F220" s="14" t="str">
        <f>IFERROR(INDEX(Teams!$B$2:$B$49,MATCH($E220,Teams!$A$2:$A$49,0)),"")</f>
        <v>Netherlands</v>
      </c>
      <c r="G220" s="14" t="s">
        <v>333</v>
      </c>
      <c r="H220" s="14"/>
      <c r="I220" s="14" t="str">
        <f>IFERROR(INDEX(Matches!$C$2:$C$105,MATCH($B220,Matches!$A$2:$A$105,0)),"")</f>
        <v>Round of 32</v>
      </c>
    </row>
    <row r="221" spans="1:9" x14ac:dyDescent="0.3">
      <c r="A221" s="14">
        <v>220</v>
      </c>
      <c r="B221" s="14">
        <v>75</v>
      </c>
      <c r="C221" s="14">
        <v>742</v>
      </c>
      <c r="D221" s="14" t="str">
        <f>IFERROR(INDEX(Players!$B$2:$B$1249,MATCH($C221,Players!$A$2:$A$1249,0)),"")</f>
        <v>Issa Diop</v>
      </c>
      <c r="E221" s="14">
        <v>21</v>
      </c>
      <c r="F221" s="14" t="str">
        <f>IFERROR(INDEX(Teams!$B$2:$B$49,MATCH($E221,Teams!$A$2:$A$49,0)),"")</f>
        <v>Morocco</v>
      </c>
      <c r="G221" s="14" t="s">
        <v>330</v>
      </c>
      <c r="H221" s="14"/>
      <c r="I221" s="14" t="str">
        <f>IFERROR(INDEX(Matches!$C$2:$C$105,MATCH($B221,Matches!$A$2:$A$105,0)),"")</f>
        <v>Round of 32</v>
      </c>
    </row>
    <row r="222" spans="1:9" x14ac:dyDescent="0.3">
      <c r="A222" s="14">
        <v>221</v>
      </c>
      <c r="B222" s="14">
        <v>76</v>
      </c>
      <c r="C222" s="14">
        <v>161</v>
      </c>
      <c r="D222" s="14" t="str">
        <f>IFERROR(INDEX(Players!$B$2:$B$1249,MATCH($C222,Players!$A$2:$A$1249,0)),"")</f>
        <v>Casemiro</v>
      </c>
      <c r="E222" s="14">
        <v>3</v>
      </c>
      <c r="F222" s="14" t="str">
        <f>IFERROR(INDEX(Teams!$B$2:$B$49,MATCH($E222,Teams!$A$2:$A$49,0)),"")</f>
        <v>Brazil</v>
      </c>
      <c r="G222" s="14" t="s">
        <v>306</v>
      </c>
      <c r="H222" s="14"/>
      <c r="I222" s="14" t="str">
        <f>IFERROR(INDEX(Matches!$C$2:$C$105,MATCH($B222,Matches!$A$2:$A$105,0)),"")</f>
        <v>Round of 32</v>
      </c>
    </row>
    <row r="223" spans="1:9" x14ac:dyDescent="0.3">
      <c r="A223" s="14">
        <v>222</v>
      </c>
      <c r="B223" s="14">
        <v>76</v>
      </c>
      <c r="C223" s="14">
        <v>178</v>
      </c>
      <c r="D223" s="14" t="str">
        <f>IFERROR(INDEX(Players!$B$2:$B$1249,MATCH($C223,Players!$A$2:$A$1249,0)),"")</f>
        <v>Gabriel Martinelli</v>
      </c>
      <c r="E223" s="14">
        <v>3</v>
      </c>
      <c r="F223" s="14" t="str">
        <f>IFERROR(INDEX(Teams!$B$2:$B$49,MATCH($E223,Teams!$A$2:$A$49,0)),"")</f>
        <v>Brazil</v>
      </c>
      <c r="G223" s="14" t="s">
        <v>319</v>
      </c>
      <c r="H223" s="14"/>
      <c r="I223" s="14" t="str">
        <f>IFERROR(INDEX(Matches!$C$2:$C$105,MATCH($B223,Matches!$A$2:$A$105,0)),"")</f>
        <v>Round of 32</v>
      </c>
    </row>
    <row r="224" spans="1:9" x14ac:dyDescent="0.3">
      <c r="A224" s="14">
        <v>223</v>
      </c>
      <c r="B224" s="14">
        <v>76</v>
      </c>
      <c r="C224" s="14">
        <v>648</v>
      </c>
      <c r="D224" s="14" t="str">
        <f>IFERROR(INDEX(Players!$B$2:$B$1249,MATCH($C224,Players!$A$2:$A$1249,0)),"")</f>
        <v>Kaishu Sano</v>
      </c>
      <c r="E224" s="14">
        <v>20</v>
      </c>
      <c r="F224" s="14" t="str">
        <f>IFERROR(INDEX(Teams!$B$2:$B$49,MATCH($E224,Teams!$A$2:$A$49,0)),"")</f>
        <v>Japan</v>
      </c>
      <c r="G224" s="14" t="s">
        <v>264</v>
      </c>
      <c r="H224" s="14"/>
      <c r="I224" s="14" t="str">
        <f>IFERROR(INDEX(Matches!$C$2:$C$105,MATCH($B224,Matches!$A$2:$A$105,0)),"")</f>
        <v>Round of 32</v>
      </c>
    </row>
    <row r="225" spans="1:9" x14ac:dyDescent="0.3">
      <c r="A225" s="14">
        <v>224</v>
      </c>
      <c r="B225" s="14">
        <v>77</v>
      </c>
      <c r="C225" s="14">
        <v>478</v>
      </c>
      <c r="D225" s="14" t="str">
        <f>IFERROR(INDEX(Players!$B$2:$B$1249,MATCH($C225,Players!$A$2:$A$1249,0)),"")</f>
        <v>Kylian Mbappe</v>
      </c>
      <c r="E225" s="14">
        <v>6</v>
      </c>
      <c r="F225" s="14" t="str">
        <f>IFERROR(INDEX(Teams!$B$2:$B$49,MATCH($E225,Teams!$A$2:$A$49,0)),"")</f>
        <v>France</v>
      </c>
      <c r="G225" s="14" t="s">
        <v>325</v>
      </c>
      <c r="H225" s="14"/>
      <c r="I225" s="14" t="str">
        <f>IFERROR(INDEX(Matches!$C$2:$C$105,MATCH($B225,Matches!$A$2:$A$105,0)),"")</f>
        <v>Round of 32</v>
      </c>
    </row>
    <row r="226" spans="1:9" x14ac:dyDescent="0.3">
      <c r="A226" s="14">
        <v>225</v>
      </c>
      <c r="B226" s="14">
        <v>77</v>
      </c>
      <c r="C226" s="14">
        <v>480</v>
      </c>
      <c r="D226" s="14" t="str">
        <f>IFERROR(INDEX(Players!$B$2:$B$1249,MATCH($C226,Players!$A$2:$A$1249,0)),"")</f>
        <v>Bradley Barcola</v>
      </c>
      <c r="E226" s="14">
        <v>6</v>
      </c>
      <c r="F226" s="14" t="str">
        <f>IFERROR(INDEX(Teams!$B$2:$B$49,MATCH($E226,Teams!$A$2:$A$49,0)),"")</f>
        <v>France</v>
      </c>
      <c r="G226" s="14" t="s">
        <v>321</v>
      </c>
      <c r="H226" s="14"/>
      <c r="I226" s="14" t="str">
        <f>IFERROR(INDEX(Matches!$C$2:$C$105,MATCH($B226,Matches!$A$2:$A$105,0)),"")</f>
        <v>Round of 32</v>
      </c>
    </row>
    <row r="227" spans="1:9" x14ac:dyDescent="0.3">
      <c r="A227" s="14">
        <v>226</v>
      </c>
      <c r="B227" s="14">
        <v>77</v>
      </c>
      <c r="C227" s="14">
        <v>478</v>
      </c>
      <c r="D227" s="14" t="str">
        <f>IFERROR(INDEX(Players!$B$2:$B$1249,MATCH($C227,Players!$A$2:$A$1249,0)),"")</f>
        <v>Kylian Mbappe</v>
      </c>
      <c r="E227" s="14">
        <v>6</v>
      </c>
      <c r="F227" s="14" t="str">
        <f>IFERROR(INDEX(Teams!$B$2:$B$49,MATCH($E227,Teams!$A$2:$A$49,0)),"")</f>
        <v>France</v>
      </c>
      <c r="G227" s="14" t="s">
        <v>258</v>
      </c>
      <c r="H227" s="14"/>
      <c r="I227" s="14" t="str">
        <f>IFERROR(INDEX(Matches!$C$2:$C$105,MATCH($B227,Matches!$A$2:$A$105,0)),"")</f>
        <v>Round of 32</v>
      </c>
    </row>
    <row r="228" spans="1:9" x14ac:dyDescent="0.3">
      <c r="A228" s="14">
        <v>227</v>
      </c>
      <c r="B228" s="14">
        <v>78</v>
      </c>
      <c r="C228" s="14">
        <v>301</v>
      </c>
      <c r="D228" s="14" t="str">
        <f>IFERROR(INDEX(Players!$B$2:$B$1249,MATCH($C228,Players!$A$2:$A$1249,0)),"")</f>
        <v>Amad Diallo</v>
      </c>
      <c r="E228" s="14">
        <v>17</v>
      </c>
      <c r="F228" s="14" t="str">
        <f>IFERROR(INDEX(Teams!$B$2:$B$49,MATCH($E228,Teams!$A$2:$A$49,0)),"")</f>
        <v>Côte d'Ivoire</v>
      </c>
      <c r="G228" s="14" t="s">
        <v>258</v>
      </c>
      <c r="H228" s="14"/>
      <c r="I228" s="14" t="str">
        <f>IFERROR(INDEX(Matches!$C$2:$C$105,MATCH($B228,Matches!$A$2:$A$105,0)),"")</f>
        <v>Round of 32</v>
      </c>
    </row>
    <row r="229" spans="1:9" x14ac:dyDescent="0.3">
      <c r="A229" s="14">
        <v>228</v>
      </c>
      <c r="B229" s="14">
        <v>78</v>
      </c>
      <c r="C229" s="14">
        <v>826</v>
      </c>
      <c r="D229" s="14" t="str">
        <f>IFERROR(INDEX(Players!$B$2:$B$1249,MATCH($C229,Players!$A$2:$A$1249,0)),"")</f>
        <v>Antonio Nusa</v>
      </c>
      <c r="E229" s="14">
        <v>22</v>
      </c>
      <c r="F229" s="14" t="str">
        <f>IFERROR(INDEX(Teams!$B$2:$B$49,MATCH($E229,Teams!$A$2:$A$49,0)),"")</f>
        <v>Norway</v>
      </c>
      <c r="G229" s="14" t="s">
        <v>281</v>
      </c>
      <c r="H229" s="14"/>
      <c r="I229" s="14" t="str">
        <f>IFERROR(INDEX(Matches!$C$2:$C$105,MATCH($B229,Matches!$A$2:$A$105,0)),"")</f>
        <v>Round of 32</v>
      </c>
    </row>
    <row r="230" spans="1:9" x14ac:dyDescent="0.3">
      <c r="A230" s="14">
        <v>229</v>
      </c>
      <c r="B230" s="14">
        <v>78</v>
      </c>
      <c r="C230" s="14">
        <v>815</v>
      </c>
      <c r="D230" s="14" t="str">
        <f>IFERROR(INDEX(Players!$B$2:$B$1249,MATCH($C230,Players!$A$2:$A$1249,0)),"")</f>
        <v>Erling Haaland</v>
      </c>
      <c r="E230" s="14">
        <v>22</v>
      </c>
      <c r="F230" s="14" t="str">
        <f>IFERROR(INDEX(Teams!$B$2:$B$49,MATCH($E230,Teams!$A$2:$A$49,0)),"")</f>
        <v>Norway</v>
      </c>
      <c r="G230" s="14" t="s">
        <v>314</v>
      </c>
      <c r="H230" s="14"/>
      <c r="I230" s="14" t="str">
        <f>IFERROR(INDEX(Matches!$C$2:$C$105,MATCH($B230,Matches!$A$2:$A$105,0)),"")</f>
        <v>Round of 32</v>
      </c>
    </row>
    <row r="231" spans="1:9" x14ac:dyDescent="0.3">
      <c r="A231" s="14">
        <v>230</v>
      </c>
      <c r="B231" s="14">
        <v>79</v>
      </c>
      <c r="C231" s="14">
        <v>718</v>
      </c>
      <c r="D231" s="14" t="str">
        <f>IFERROR(INDEX(Players!$B$2:$B$1249,MATCH($C231,Players!$A$2:$A$1249,0)),"")</f>
        <v>Julian Quinones</v>
      </c>
      <c r="E231" s="14">
        <v>8</v>
      </c>
      <c r="F231" s="14" t="str">
        <f>IFERROR(INDEX(Teams!$B$2:$B$49,MATCH($E231,Teams!$A$2:$A$49,0)),"")</f>
        <v>Mexico</v>
      </c>
      <c r="G231" s="14" t="s">
        <v>286</v>
      </c>
      <c r="H231" s="14"/>
      <c r="I231" s="14" t="str">
        <f>IFERROR(INDEX(Matches!$C$2:$C$105,MATCH($B231,Matches!$A$2:$A$105,0)),"")</f>
        <v>Round of 32</v>
      </c>
    </row>
    <row r="232" spans="1:9" x14ac:dyDescent="0.3">
      <c r="A232" s="14">
        <v>231</v>
      </c>
      <c r="B232" s="14">
        <v>79</v>
      </c>
      <c r="C232" s="14">
        <v>711</v>
      </c>
      <c r="D232" s="14" t="str">
        <f>IFERROR(INDEX(Players!$B$2:$B$1249,MATCH($C232,Players!$A$2:$A$1249,0)),"")</f>
        <v>Raul Jimenez</v>
      </c>
      <c r="E232" s="14">
        <v>8</v>
      </c>
      <c r="F232" s="14" t="str">
        <f>IFERROR(INDEX(Teams!$B$2:$B$49,MATCH($E232,Teams!$A$2:$A$49,0)),"")</f>
        <v>Mexico</v>
      </c>
      <c r="G232" s="14" t="s">
        <v>282</v>
      </c>
      <c r="H232" s="14"/>
      <c r="I232" s="14" t="str">
        <f>IFERROR(INDEX(Matches!$C$2:$C$105,MATCH($B232,Matches!$A$2:$A$105,0)),"")</f>
        <v>Round of 32</v>
      </c>
    </row>
    <row r="233" spans="1:9" x14ac:dyDescent="0.3">
      <c r="A233" s="14">
        <v>232</v>
      </c>
      <c r="B233" s="14">
        <v>80</v>
      </c>
      <c r="C233" s="14">
        <v>451</v>
      </c>
      <c r="D233" s="14" t="str">
        <f>IFERROR(INDEX(Players!$B$2:$B$1249,MATCH($C233,Players!$A$2:$A$1249,0)),"")</f>
        <v>Harry Kane</v>
      </c>
      <c r="E233" s="14">
        <v>5</v>
      </c>
      <c r="F233" s="14" t="str">
        <f>IFERROR(INDEX(Teams!$B$2:$B$49,MATCH($E233,Teams!$A$2:$A$49,0)),"")</f>
        <v>England</v>
      </c>
      <c r="G233" s="14" t="s">
        <v>267</v>
      </c>
      <c r="H233" s="14"/>
      <c r="I233" s="14" t="str">
        <f>IFERROR(INDEX(Matches!$C$2:$C$105,MATCH($B233,Matches!$A$2:$A$105,0)),"")</f>
        <v>Round of 32</v>
      </c>
    </row>
    <row r="234" spans="1:9" x14ac:dyDescent="0.3">
      <c r="A234" s="14">
        <v>233</v>
      </c>
      <c r="B234" s="14">
        <v>80</v>
      </c>
      <c r="C234" s="14">
        <v>451</v>
      </c>
      <c r="D234" s="14" t="str">
        <f>IFERROR(INDEX(Players!$B$2:$B$1249,MATCH($C234,Players!$A$2:$A$1249,0)),"")</f>
        <v>Harry Kane</v>
      </c>
      <c r="E234" s="14">
        <v>5</v>
      </c>
      <c r="F234" s="14" t="str">
        <f>IFERROR(INDEX(Teams!$B$2:$B$49,MATCH($E234,Teams!$A$2:$A$49,0)),"")</f>
        <v>England</v>
      </c>
      <c r="G234" s="14" t="s">
        <v>314</v>
      </c>
      <c r="H234" s="14"/>
      <c r="I234" s="14" t="str">
        <f>IFERROR(INDEX(Matches!$C$2:$C$105,MATCH($B234,Matches!$A$2:$A$105,0)),"")</f>
        <v>Round of 32</v>
      </c>
    </row>
    <row r="235" spans="1:9" x14ac:dyDescent="0.3">
      <c r="A235" s="14">
        <v>234</v>
      </c>
      <c r="B235" s="14">
        <v>80</v>
      </c>
      <c r="C235" s="14">
        <v>269</v>
      </c>
      <c r="D235" s="14" t="str">
        <f>IFERROR(INDEX(Players!$B$2:$B$1249,MATCH($C235,Players!$A$2:$A$1249,0)),"")</f>
        <v>Brian Cipenga</v>
      </c>
      <c r="E235" s="14">
        <v>27</v>
      </c>
      <c r="F235" s="14" t="str">
        <f>IFERROR(INDEX(Teams!$B$2:$B$49,MATCH($E235,Teams!$A$2:$A$49,0)),"")</f>
        <v>Congo DR</v>
      </c>
      <c r="G235" s="14" t="s">
        <v>279</v>
      </c>
      <c r="H235" s="14"/>
      <c r="I235" s="14" t="str">
        <f>IFERROR(INDEX(Matches!$C$2:$C$105,MATCH($B235,Matches!$A$2:$A$105,0)),"")</f>
        <v>Round of 32</v>
      </c>
    </row>
    <row r="236" spans="1:9" x14ac:dyDescent="0.3">
      <c r="A236" s="14">
        <v>235</v>
      </c>
      <c r="B236" s="14">
        <v>81</v>
      </c>
      <c r="C236" s="14">
        <v>1216</v>
      </c>
      <c r="D236" s="14" t="str">
        <f>IFERROR(INDEX(Players!$B$2:$B$1249,MATCH($C236,Players!$A$2:$A$1249,0)),"")</f>
        <v>Folarin Balogun</v>
      </c>
      <c r="E236" s="14">
        <v>12</v>
      </c>
      <c r="F236" s="14" t="str">
        <f>IFERROR(INDEX(Teams!$B$2:$B$49,MATCH($E236,Teams!$A$2:$A$49,0)),"")</f>
        <v>USA</v>
      </c>
      <c r="G236" s="14" t="s">
        <v>325</v>
      </c>
      <c r="H236" s="14"/>
      <c r="I236" s="14" t="str">
        <f>IFERROR(INDEX(Matches!$C$2:$C$105,MATCH($B236,Matches!$A$2:$A$105,0)),"")</f>
        <v>Round of 32</v>
      </c>
    </row>
    <row r="237" spans="1:9" x14ac:dyDescent="0.3">
      <c r="A237" s="14">
        <v>236</v>
      </c>
      <c r="B237" s="14">
        <v>81</v>
      </c>
      <c r="C237" s="14">
        <v>1213</v>
      </c>
      <c r="D237" s="14" t="str">
        <f>IFERROR(INDEX(Players!$B$2:$B$1249,MATCH($C237,Players!$A$2:$A$1249,0)),"")</f>
        <v>Malik Tillman</v>
      </c>
      <c r="E237" s="14">
        <v>12</v>
      </c>
      <c r="F237" s="14" t="str">
        <f>IFERROR(INDEX(Teams!$B$2:$B$49,MATCH($E237,Teams!$A$2:$A$49,0)),"")</f>
        <v>USA</v>
      </c>
      <c r="G237" s="14" t="s">
        <v>312</v>
      </c>
      <c r="H237" s="14"/>
      <c r="I237" s="14" t="str">
        <f>IFERROR(INDEX(Matches!$C$2:$C$105,MATCH($B237,Matches!$A$2:$A$105,0)),"")</f>
        <v>Round of 32</v>
      </c>
    </row>
    <row r="238" spans="1:9" x14ac:dyDescent="0.3">
      <c r="A238" s="14">
        <v>237</v>
      </c>
      <c r="B238" s="14">
        <v>82</v>
      </c>
      <c r="C238" s="14">
        <v>113</v>
      </c>
      <c r="D238" s="14" t="str">
        <f>IFERROR(INDEX(Players!$B$2:$B$1249,MATCH($C238,Players!$A$2:$A$1249,0)),"")</f>
        <v>Romelu Lukaku</v>
      </c>
      <c r="E238" s="14">
        <v>2</v>
      </c>
      <c r="F238" s="14" t="str">
        <f>IFERROR(INDEX(Teams!$B$2:$B$49,MATCH($E238,Teams!$A$2:$A$49,0)),"")</f>
        <v>Belgium</v>
      </c>
      <c r="G238" s="14" t="s">
        <v>314</v>
      </c>
      <c r="H238" s="14"/>
      <c r="I238" s="14" t="str">
        <f>IFERROR(INDEX(Matches!$C$2:$C$105,MATCH($B238,Matches!$A$2:$A$105,0)),"")</f>
        <v>Round of 32</v>
      </c>
    </row>
    <row r="239" spans="1:9" x14ac:dyDescent="0.3">
      <c r="A239" s="14">
        <v>238</v>
      </c>
      <c r="B239" s="14">
        <v>82</v>
      </c>
      <c r="C239" s="14">
        <v>112</v>
      </c>
      <c r="D239" s="14" t="str">
        <f>IFERROR(INDEX(Players!$B$2:$B$1249,MATCH($C239,Players!$A$2:$A$1249,0)),"")</f>
        <v>Youri Tielemans</v>
      </c>
      <c r="E239" s="14">
        <v>2</v>
      </c>
      <c r="F239" s="14" t="str">
        <f>IFERROR(INDEX(Teams!$B$2:$B$49,MATCH($E239,Teams!$A$2:$A$49,0)),"")</f>
        <v>Belgium</v>
      </c>
      <c r="G239" s="14" t="s">
        <v>283</v>
      </c>
      <c r="H239" s="14"/>
      <c r="I239" s="14" t="str">
        <f>IFERROR(INDEX(Matches!$C$2:$C$105,MATCH($B239,Matches!$A$2:$A$105,0)),"")</f>
        <v>Round of 32</v>
      </c>
    </row>
    <row r="240" spans="1:9" x14ac:dyDescent="0.3">
      <c r="A240" s="14">
        <v>239</v>
      </c>
      <c r="B240" s="14">
        <v>82</v>
      </c>
      <c r="C240" s="14">
        <v>112</v>
      </c>
      <c r="D240" s="14" t="str">
        <f>IFERROR(INDEX(Players!$B$2:$B$1249,MATCH($C240,Players!$A$2:$A$1249,0)),"")</f>
        <v>Youri Tielemans</v>
      </c>
      <c r="E240" s="14">
        <v>2</v>
      </c>
      <c r="F240" s="14" t="str">
        <f>IFERROR(INDEX(Teams!$B$2:$B$49,MATCH($E240,Teams!$A$2:$A$49,0)),"")</f>
        <v>Belgium</v>
      </c>
      <c r="G240" s="14" t="s">
        <v>334</v>
      </c>
      <c r="H240" s="14" t="s">
        <v>248</v>
      </c>
      <c r="I240" s="14" t="str">
        <f>IFERROR(INDEX(Matches!$C$2:$C$105,MATCH($B240,Matches!$A$2:$A$105,0)),"")</f>
        <v>Round of 32</v>
      </c>
    </row>
    <row r="241" spans="1:9" x14ac:dyDescent="0.3">
      <c r="A241" s="14">
        <v>240</v>
      </c>
      <c r="B241" s="14">
        <v>82</v>
      </c>
      <c r="C241" s="14">
        <v>1009</v>
      </c>
      <c r="D241" s="14" t="str">
        <f>IFERROR(INDEX(Players!$B$2:$B$1249,MATCH($C241,Players!$A$2:$A$1249,0)),"")</f>
        <v>Habib Diarra</v>
      </c>
      <c r="E241" s="14">
        <v>34</v>
      </c>
      <c r="F241" s="14" t="str">
        <f>IFERROR(INDEX(Teams!$B$2:$B$49,MATCH($E241,Teams!$A$2:$A$49,0)),"")</f>
        <v>Senegal</v>
      </c>
      <c r="G241" s="14" t="s">
        <v>335</v>
      </c>
      <c r="H241" s="14"/>
      <c r="I241" s="14" t="str">
        <f>IFERROR(INDEX(Matches!$C$2:$C$105,MATCH($B241,Matches!$A$2:$A$105,0)),"")</f>
        <v>Round of 32</v>
      </c>
    </row>
    <row r="242" spans="1:9" x14ac:dyDescent="0.3">
      <c r="A242" s="14">
        <v>241</v>
      </c>
      <c r="B242" s="14">
        <v>82</v>
      </c>
      <c r="C242" s="14">
        <v>1006</v>
      </c>
      <c r="D242" s="14" t="str">
        <f>IFERROR(INDEX(Players!$B$2:$B$1249,MATCH($C242,Players!$A$2:$A$1249,0)),"")</f>
        <v>Ismaila Sarr</v>
      </c>
      <c r="E242" s="14">
        <v>34</v>
      </c>
      <c r="F242" s="14" t="str">
        <f>IFERROR(INDEX(Teams!$B$2:$B$49,MATCH($E242,Teams!$A$2:$A$49,0)),"")</f>
        <v>Senegal</v>
      </c>
      <c r="G242" s="14" t="s">
        <v>300</v>
      </c>
      <c r="H242" s="14"/>
      <c r="I242" s="14" t="str">
        <f>IFERROR(INDEX(Matches!$C$2:$C$105,MATCH($B242,Matches!$A$2:$A$105,0)),"")</f>
        <v>Round of 32</v>
      </c>
    </row>
    <row r="243" spans="1:9" x14ac:dyDescent="0.3">
      <c r="A243" s="14">
        <v>242</v>
      </c>
      <c r="B243" s="14">
        <v>83</v>
      </c>
      <c r="C243" s="14">
        <v>891</v>
      </c>
      <c r="D243" s="14" t="str">
        <f>IFERROR(INDEX(Players!$B$2:$B$1249,MATCH($C243,Players!$A$2:$A$1249,0)),"")</f>
        <v>Cristiano Ronaldo</v>
      </c>
      <c r="E243" s="14">
        <v>23</v>
      </c>
      <c r="F243" s="14" t="str">
        <f>IFERROR(INDEX(Teams!$B$2:$B$49,MATCH($E243,Teams!$A$2:$A$49,0)),"")</f>
        <v>Portugal</v>
      </c>
      <c r="G243" s="14" t="s">
        <v>296</v>
      </c>
      <c r="H243" s="14" t="s">
        <v>248</v>
      </c>
      <c r="I243" s="14" t="str">
        <f>IFERROR(INDEX(Matches!$C$2:$C$105,MATCH($B243,Matches!$A$2:$A$105,0)),"")</f>
        <v>Round of 32</v>
      </c>
    </row>
    <row r="244" spans="1:9" x14ac:dyDescent="0.3">
      <c r="A244" s="14">
        <v>243</v>
      </c>
      <c r="B244" s="14">
        <v>83</v>
      </c>
      <c r="C244" s="14">
        <v>893</v>
      </c>
      <c r="D244" s="14" t="str">
        <f>IFERROR(INDEX(Players!$B$2:$B$1249,MATCH($C244,Players!$A$2:$A$1249,0)),"")</f>
        <v>Goncalo Ramos</v>
      </c>
      <c r="E244" s="14">
        <v>23</v>
      </c>
      <c r="F244" s="14" t="str">
        <f>IFERROR(INDEX(Teams!$B$2:$B$49,MATCH($E244,Teams!$A$2:$A$49,0)),"")</f>
        <v>Portugal</v>
      </c>
      <c r="G244" s="14" t="s">
        <v>252</v>
      </c>
      <c r="H244" s="14"/>
      <c r="I244" s="14" t="str">
        <f>IFERROR(INDEX(Matches!$C$2:$C$105,MATCH($B244,Matches!$A$2:$A$105,0)),"")</f>
        <v>Round of 32</v>
      </c>
    </row>
    <row r="245" spans="1:9" x14ac:dyDescent="0.3">
      <c r="A245" s="14">
        <v>244</v>
      </c>
      <c r="B245" s="14">
        <v>83</v>
      </c>
      <c r="C245" s="14">
        <v>326</v>
      </c>
      <c r="D245" s="14" t="str">
        <f>IFERROR(INDEX(Players!$B$2:$B$1249,MATCH($C245,Players!$A$2:$A$1249,0)),"")</f>
        <v>Ivan Perisic</v>
      </c>
      <c r="E245" s="14">
        <v>18</v>
      </c>
      <c r="F245" s="14" t="str">
        <f>IFERROR(INDEX(Teams!$B$2:$B$49,MATCH($E245,Teams!$A$2:$A$49,0)),"")</f>
        <v>Croatia</v>
      </c>
      <c r="G245" s="14" t="s">
        <v>321</v>
      </c>
      <c r="H245" s="14"/>
      <c r="I245" s="14" t="str">
        <f>IFERROR(INDEX(Matches!$C$2:$C$105,MATCH($B245,Matches!$A$2:$A$105,0)),"")</f>
        <v>Round of 32</v>
      </c>
    </row>
    <row r="246" spans="1:9" x14ac:dyDescent="0.3">
      <c r="A246" s="14">
        <v>245</v>
      </c>
      <c r="B246" s="14">
        <v>84</v>
      </c>
      <c r="C246" s="14">
        <v>1061</v>
      </c>
      <c r="D246" s="14" t="str">
        <f>IFERROR(INDEX(Players!$B$2:$B$1249,MATCH($C246,Players!$A$2:$A$1249,0)),"")</f>
        <v>Mikel Oyarzabal</v>
      </c>
      <c r="E246" s="14">
        <v>10</v>
      </c>
      <c r="F246" s="14" t="str">
        <f>IFERROR(INDEX(Teams!$B$2:$B$49,MATCH($E246,Teams!$A$2:$A$49,0)),"")</f>
        <v>Spain</v>
      </c>
      <c r="G246" s="14" t="s">
        <v>278</v>
      </c>
      <c r="H246" s="14"/>
      <c r="I246" s="14" t="str">
        <f>IFERROR(INDEX(Matches!$C$2:$C$105,MATCH($B246,Matches!$A$2:$A$105,0)),"")</f>
        <v>Round of 32</v>
      </c>
    </row>
    <row r="247" spans="1:9" x14ac:dyDescent="0.3">
      <c r="A247" s="14">
        <v>246</v>
      </c>
      <c r="B247" s="14">
        <v>84</v>
      </c>
      <c r="C247" s="14">
        <v>1052</v>
      </c>
      <c r="D247" s="14" t="str">
        <f>IFERROR(INDEX(Players!$B$2:$B$1249,MATCH($C247,Players!$A$2:$A$1249,0)),"")</f>
        <v>Pedro Porro</v>
      </c>
      <c r="E247" s="14">
        <v>10</v>
      </c>
      <c r="F247" s="14" t="str">
        <f>IFERROR(INDEX(Teams!$B$2:$B$49,MATCH($E247,Teams!$A$2:$A$49,0)),"")</f>
        <v>Spain</v>
      </c>
      <c r="G247" s="14" t="s">
        <v>308</v>
      </c>
      <c r="H247" s="14"/>
      <c r="I247" s="14" t="str">
        <f>IFERROR(INDEX(Matches!$C$2:$C$105,MATCH($B247,Matches!$A$2:$A$105,0)),"")</f>
        <v>Round of 32</v>
      </c>
    </row>
    <row r="248" spans="1:9" x14ac:dyDescent="0.3">
      <c r="A248" s="14">
        <v>247</v>
      </c>
      <c r="B248" s="14">
        <v>84</v>
      </c>
      <c r="C248" s="14">
        <v>1061</v>
      </c>
      <c r="D248" s="14" t="str">
        <f>IFERROR(INDEX(Players!$B$2:$B$1249,MATCH($C248,Players!$A$2:$A$1249,0)),"")</f>
        <v>Mikel Oyarzabal</v>
      </c>
      <c r="E248" s="14">
        <v>10</v>
      </c>
      <c r="F248" s="14" t="str">
        <f>IFERROR(INDEX(Teams!$B$2:$B$49,MATCH($E248,Teams!$A$2:$A$49,0)),"")</f>
        <v>Spain</v>
      </c>
      <c r="G248" s="14" t="s">
        <v>283</v>
      </c>
      <c r="H248" s="14"/>
      <c r="I248" s="14" t="str">
        <f>IFERROR(INDEX(Matches!$C$2:$C$105,MATCH($B248,Matches!$A$2:$A$105,0)),"")</f>
        <v>Round of 32</v>
      </c>
    </row>
    <row r="249" spans="1:9" x14ac:dyDescent="0.3">
      <c r="A249" s="14">
        <v>248</v>
      </c>
      <c r="B249" s="14">
        <v>85</v>
      </c>
      <c r="C249" s="14">
        <v>1099</v>
      </c>
      <c r="D249" s="14" t="str">
        <f>IFERROR(INDEX(Players!$B$2:$B$1249,MATCH($C249,Players!$A$2:$A$1249,0)),"")</f>
        <v>Breel Embolo</v>
      </c>
      <c r="E249" s="14">
        <v>11</v>
      </c>
      <c r="F249" s="14" t="str">
        <f>IFERROR(INDEX(Teams!$B$2:$B$49,MATCH($E249,Teams!$A$2:$A$49,0)),"")</f>
        <v>Switzerland</v>
      </c>
      <c r="G249" s="14" t="s">
        <v>284</v>
      </c>
      <c r="H249" s="14"/>
      <c r="I249" s="14" t="str">
        <f>IFERROR(INDEX(Matches!$C$2:$C$105,MATCH($B249,Matches!$A$2:$A$105,0)),"")</f>
        <v>Round of 32</v>
      </c>
    </row>
    <row r="250" spans="1:9" x14ac:dyDescent="0.3">
      <c r="A250" s="14">
        <v>249</v>
      </c>
      <c r="B250" s="14">
        <v>85</v>
      </c>
      <c r="C250" s="14">
        <v>1103</v>
      </c>
      <c r="D250" s="14" t="str">
        <f>IFERROR(INDEX(Players!$B$2:$B$1249,MATCH($C250,Players!$A$2:$A$1249,0)),"")</f>
        <v>Dan Ndoye</v>
      </c>
      <c r="E250" s="14">
        <v>11</v>
      </c>
      <c r="F250" s="14" t="str">
        <f>IFERROR(INDEX(Teams!$B$2:$B$49,MATCH($E250,Teams!$A$2:$A$49,0)),"")</f>
        <v>Switzerland</v>
      </c>
      <c r="G250" s="14" t="s">
        <v>269</v>
      </c>
      <c r="H250" s="14"/>
      <c r="I250" s="14" t="str">
        <f>IFERROR(INDEX(Matches!$C$2:$C$105,MATCH($B250,Matches!$A$2:$A$105,0)),"")</f>
        <v>Round of 32</v>
      </c>
    </row>
    <row r="251" spans="1:9" x14ac:dyDescent="0.3">
      <c r="A251" s="14">
        <v>250</v>
      </c>
      <c r="B251" s="14">
        <v>86</v>
      </c>
      <c r="C251" s="14">
        <v>36</v>
      </c>
      <c r="D251" s="14" t="str">
        <f>IFERROR(INDEX(Players!$B$2:$B$1249,MATCH($C251,Players!$A$2:$A$1249,0)),"")</f>
        <v>Lionel Messi</v>
      </c>
      <c r="E251" s="14">
        <v>1</v>
      </c>
      <c r="F251" s="14" t="str">
        <f>IFERROR(INDEX(Teams!$B$2:$B$49,MATCH($E251,Teams!$A$2:$A$49,0)),"")</f>
        <v>Argentina</v>
      </c>
      <c r="G251" s="14" t="s">
        <v>264</v>
      </c>
      <c r="H251" s="14"/>
      <c r="I251" s="14" t="str">
        <f>IFERROR(INDEX(Matches!$C$2:$C$105,MATCH($B251,Matches!$A$2:$A$105,0)),"")</f>
        <v>Round of 32</v>
      </c>
    </row>
    <row r="252" spans="1:9" x14ac:dyDescent="0.3">
      <c r="A252" s="14">
        <v>251</v>
      </c>
      <c r="B252" s="14">
        <v>86</v>
      </c>
      <c r="C252" s="14">
        <v>32</v>
      </c>
      <c r="D252" s="14" t="str">
        <f>IFERROR(INDEX(Players!$B$2:$B$1249,MATCH($C252,Players!$A$2:$A$1249,0)),"")</f>
        <v>Lisandro Martinez</v>
      </c>
      <c r="E252" s="14">
        <v>1</v>
      </c>
      <c r="F252" s="14" t="str">
        <f>IFERROR(INDEX(Teams!$B$2:$B$49,MATCH($E252,Teams!$A$2:$A$49,0)),"")</f>
        <v>Argentina</v>
      </c>
      <c r="G252" s="14" t="s">
        <v>336</v>
      </c>
      <c r="H252" s="14"/>
      <c r="I252" s="14" t="str">
        <f>IFERROR(INDEX(Matches!$C$2:$C$105,MATCH($B252,Matches!$A$2:$A$105,0)),"")</f>
        <v>Round of 32</v>
      </c>
    </row>
    <row r="253" spans="1:9" x14ac:dyDescent="0.3">
      <c r="A253" s="14">
        <v>252</v>
      </c>
      <c r="B253" s="14">
        <v>86</v>
      </c>
      <c r="C253" s="14">
        <v>185</v>
      </c>
      <c r="D253" s="14" t="str">
        <f>IFERROR(INDEX(Players!$B$2:$B$1249,MATCH($C253,Players!$A$2:$A$1249,0)),"")</f>
        <v>Diney Borges</v>
      </c>
      <c r="E253" s="14">
        <v>1</v>
      </c>
      <c r="F253" s="14" t="str">
        <f>IFERROR(INDEX(Teams!$B$2:$B$49,MATCH($E253,Teams!$A$2:$A$49,0)),"")</f>
        <v>Argentina</v>
      </c>
      <c r="G253" s="14" t="s">
        <v>337</v>
      </c>
      <c r="H253" s="14" t="s">
        <v>256</v>
      </c>
      <c r="I253" s="14" t="str">
        <f>IFERROR(INDEX(Matches!$C$2:$C$105,MATCH($B253,Matches!$A$2:$A$105,0)),"")</f>
        <v>Round of 32</v>
      </c>
    </row>
    <row r="254" spans="1:9" x14ac:dyDescent="0.3">
      <c r="A254" s="14">
        <v>253</v>
      </c>
      <c r="B254" s="14">
        <v>86</v>
      </c>
      <c r="C254" s="14">
        <v>196</v>
      </c>
      <c r="D254" s="14" t="str">
        <f>IFERROR(INDEX(Players!$B$2:$B$1249,MATCH($C254,Players!$A$2:$A$1249,0)),"")</f>
        <v>Deroy Duarte</v>
      </c>
      <c r="E254" s="14">
        <v>15</v>
      </c>
      <c r="F254" s="14" t="str">
        <f>IFERROR(INDEX(Teams!$B$2:$B$49,MATCH($E254,Teams!$A$2:$A$49,0)),"")</f>
        <v>Cabo Verde</v>
      </c>
      <c r="G254" s="14" t="s">
        <v>245</v>
      </c>
      <c r="H254" s="14"/>
      <c r="I254" s="14" t="str">
        <f>IFERROR(INDEX(Matches!$C$2:$C$105,MATCH($B254,Matches!$A$2:$A$105,0)),"")</f>
        <v>Round of 32</v>
      </c>
    </row>
    <row r="255" spans="1:9" x14ac:dyDescent="0.3">
      <c r="A255" s="14">
        <v>254</v>
      </c>
      <c r="B255" s="14">
        <v>86</v>
      </c>
      <c r="C255" s="14">
        <v>195</v>
      </c>
      <c r="D255" s="14" t="str">
        <f>IFERROR(INDEX(Players!$B$2:$B$1249,MATCH($C255,Players!$A$2:$A$1249,0)),"")</f>
        <v>Sidny Lopes Cabral</v>
      </c>
      <c r="E255" s="14">
        <v>15</v>
      </c>
      <c r="F255" s="14" t="str">
        <f>IFERROR(INDEX(Teams!$B$2:$B$49,MATCH($E255,Teams!$A$2:$A$49,0)),"")</f>
        <v>Cabo Verde</v>
      </c>
      <c r="G255" s="14" t="s">
        <v>338</v>
      </c>
      <c r="H255" s="14"/>
      <c r="I255" s="14" t="str">
        <f>IFERROR(INDEX(Matches!$C$2:$C$105,MATCH($B255,Matches!$A$2:$A$105,0)),"")</f>
        <v>Round of 32</v>
      </c>
    </row>
    <row r="256" spans="1:9" x14ac:dyDescent="0.3">
      <c r="A256" s="14">
        <v>255</v>
      </c>
      <c r="B256" s="14">
        <v>87</v>
      </c>
      <c r="C256" s="14">
        <v>245</v>
      </c>
      <c r="D256" s="14" t="str">
        <f>IFERROR(INDEX(Players!$B$2:$B$1249,MATCH($C256,Players!$A$2:$A$1249,0)),"")</f>
        <v>Jhon Arias</v>
      </c>
      <c r="E256" s="14">
        <v>4</v>
      </c>
      <c r="F256" s="14" t="str">
        <f>IFERROR(INDEX(Teams!$B$2:$B$49,MATCH($E256,Teams!$A$2:$A$49,0)),"")</f>
        <v>Colombia</v>
      </c>
      <c r="G256" s="14" t="s">
        <v>313</v>
      </c>
      <c r="H256" s="14"/>
      <c r="I256" s="14" t="str">
        <f>IFERROR(INDEX(Matches!$C$2:$C$105,MATCH($B256,Matches!$A$2:$A$105,0)),"")</f>
        <v>Round of 32</v>
      </c>
    </row>
    <row r="257" spans="1:9" x14ac:dyDescent="0.3">
      <c r="A257" s="14">
        <v>256</v>
      </c>
      <c r="B257" s="14">
        <v>88</v>
      </c>
      <c r="C257" s="14">
        <v>419</v>
      </c>
      <c r="D257" s="14" t="str">
        <f>IFERROR(INDEX(Players!$B$2:$B$1249,MATCH($C257,Players!$A$2:$A$1249,0)),"")</f>
        <v>Mohamed Hany</v>
      </c>
      <c r="E257" s="14">
        <v>13</v>
      </c>
      <c r="F257" s="14" t="str">
        <f>IFERROR(INDEX(Teams!$B$2:$B$49,MATCH($E257,Teams!$A$2:$A$49,0)),"")</f>
        <v>Australia</v>
      </c>
      <c r="G257" s="14" t="s">
        <v>250</v>
      </c>
      <c r="H257" s="14" t="s">
        <v>256</v>
      </c>
      <c r="I257" s="14" t="str">
        <f>IFERROR(INDEX(Matches!$C$2:$C$105,MATCH($B257,Matches!$A$2:$A$105,0)),"")</f>
        <v>Round of 32</v>
      </c>
    </row>
    <row r="258" spans="1:9" x14ac:dyDescent="0.3">
      <c r="A258" s="14">
        <v>257</v>
      </c>
      <c r="B258" s="14">
        <v>88</v>
      </c>
      <c r="C258" s="14">
        <v>424</v>
      </c>
      <c r="D258" s="14" t="str">
        <f>IFERROR(INDEX(Players!$B$2:$B$1249,MATCH($C258,Players!$A$2:$A$1249,0)),"")</f>
        <v>Emam Ashour</v>
      </c>
      <c r="E258" s="14">
        <v>19</v>
      </c>
      <c r="F258" s="14" t="str">
        <f>IFERROR(INDEX(Teams!$B$2:$B$49,MATCH($E258,Teams!$A$2:$A$49,0)),"")</f>
        <v>Egypt</v>
      </c>
      <c r="G258" s="14" t="s">
        <v>339</v>
      </c>
      <c r="H258" s="14"/>
      <c r="I258" s="14" t="str">
        <f>IFERROR(INDEX(Matches!$C$2:$C$105,MATCH($B258,Matches!$A$2:$A$105,0)),"")</f>
        <v>Round of 32</v>
      </c>
    </row>
    <row r="259" spans="1:9" x14ac:dyDescent="0.3">
      <c r="A259" s="14">
        <v>258</v>
      </c>
      <c r="B259" s="14">
        <v>89</v>
      </c>
      <c r="C259" s="14">
        <v>478</v>
      </c>
      <c r="D259" s="14" t="str">
        <f>IFERROR(INDEX(Players!$B$2:$B$1249,MATCH($C259,Players!$A$2:$A$1249,0)),"")</f>
        <v>Kylian Mbappe</v>
      </c>
      <c r="E259" s="14">
        <v>6</v>
      </c>
      <c r="F259" s="14" t="str">
        <f>IFERROR(INDEX(Teams!$B$2:$B$49,MATCH($E259,Teams!$A$2:$A$49,0)),"")</f>
        <v>France</v>
      </c>
      <c r="G259" s="14" t="s">
        <v>340</v>
      </c>
      <c r="H259" s="14" t="s">
        <v>248</v>
      </c>
      <c r="I259" s="14" t="str">
        <f>IFERROR(INDEX(Matches!$C$2:$C$105,MATCH($B259,Matches!$A$2:$A$105,0)),"")</f>
        <v>Round of 16</v>
      </c>
    </row>
    <row r="260" spans="1:9" x14ac:dyDescent="0.3">
      <c r="A260" s="14">
        <v>259</v>
      </c>
      <c r="B260" s="14">
        <v>90</v>
      </c>
      <c r="C260" s="14">
        <v>736</v>
      </c>
      <c r="D260" s="14" t="str">
        <f>IFERROR(INDEX(Players!$B$2:$B$1249,MATCH($C260,Players!$A$2:$A$1249,0)),"")</f>
        <v>Azzedine Ounahi</v>
      </c>
      <c r="E260" s="14">
        <v>21</v>
      </c>
      <c r="F260" s="14" t="str">
        <f>IFERROR(INDEX(Teams!$B$2:$B$49,MATCH($E260,Teams!$A$2:$A$49,0)),"")</f>
        <v>Morocco</v>
      </c>
      <c r="G260" s="14" t="s">
        <v>249</v>
      </c>
      <c r="H260" s="14"/>
      <c r="I260" s="14" t="str">
        <f>IFERROR(INDEX(Matches!$C$2:$C$105,MATCH($B260,Matches!$A$2:$A$105,0)),"")</f>
        <v>Round of 16</v>
      </c>
    </row>
    <row r="261" spans="1:9" x14ac:dyDescent="0.3">
      <c r="A261" s="14">
        <v>260</v>
      </c>
      <c r="B261" s="14">
        <v>90</v>
      </c>
      <c r="C261" s="14">
        <v>736</v>
      </c>
      <c r="D261" s="14" t="str">
        <f>IFERROR(INDEX(Players!$B$2:$B$1249,MATCH($C261,Players!$A$2:$A$1249,0)),"")</f>
        <v>Azzedine Ounahi</v>
      </c>
      <c r="E261" s="14">
        <v>21</v>
      </c>
      <c r="F261" s="14" t="str">
        <f>IFERROR(INDEX(Teams!$B$2:$B$49,MATCH($E261,Teams!$A$2:$A$49,0)),"")</f>
        <v>Morocco</v>
      </c>
      <c r="G261" s="14" t="s">
        <v>312</v>
      </c>
      <c r="H261" s="14"/>
      <c r="I261" s="14" t="str">
        <f>IFERROR(INDEX(Matches!$C$2:$C$105,MATCH($B261,Matches!$A$2:$A$105,0)),"")</f>
        <v>Round of 16</v>
      </c>
    </row>
    <row r="262" spans="1:9" x14ac:dyDescent="0.3">
      <c r="A262" s="14">
        <v>261</v>
      </c>
      <c r="B262" s="14">
        <v>90</v>
      </c>
      <c r="C262" s="14">
        <v>737</v>
      </c>
      <c r="D262" s="14" t="str">
        <f>IFERROR(INDEX(Players!$B$2:$B$1249,MATCH($C262,Players!$A$2:$A$1249,0)),"")</f>
        <v>Soufiane Rahimi</v>
      </c>
      <c r="E262" s="14">
        <v>21</v>
      </c>
      <c r="F262" s="14" t="str">
        <f>IFERROR(INDEX(Teams!$B$2:$B$49,MATCH($E262,Teams!$A$2:$A$49,0)),"")</f>
        <v>Morocco</v>
      </c>
      <c r="G262" s="14" t="s">
        <v>288</v>
      </c>
      <c r="H262" s="14"/>
      <c r="I262" s="14" t="str">
        <f>IFERROR(INDEX(Matches!$C$2:$C$105,MATCH($B262,Matches!$A$2:$A$105,0)),"")</f>
        <v>Round of 16</v>
      </c>
    </row>
    <row r="263" spans="1:9" x14ac:dyDescent="0.3">
      <c r="A263" s="14">
        <v>262</v>
      </c>
      <c r="B263" s="14">
        <v>91</v>
      </c>
      <c r="C263" s="14">
        <v>166</v>
      </c>
      <c r="D263" s="14" t="str">
        <f>IFERROR(INDEX(Players!$B$2:$B$1249,MATCH($C263,Players!$A$2:$A$1249,0)),"")</f>
        <v>Neymar Jr</v>
      </c>
      <c r="E263" s="14">
        <v>3</v>
      </c>
      <c r="F263" s="14" t="str">
        <f>IFERROR(INDEX(Teams!$B$2:$B$49,MATCH($E263,Teams!$A$2:$A$49,0)),"")</f>
        <v>Brazil</v>
      </c>
      <c r="G263" s="14" t="s">
        <v>341</v>
      </c>
      <c r="H263" s="14" t="s">
        <v>248</v>
      </c>
      <c r="I263" s="14" t="str">
        <f>IFERROR(INDEX(Matches!$C$2:$C$105,MATCH($B263,Matches!$A$2:$A$105,0)),"")</f>
        <v>Round of 16</v>
      </c>
    </row>
    <row r="264" spans="1:9" x14ac:dyDescent="0.3">
      <c r="A264" s="14">
        <v>263</v>
      </c>
      <c r="B264" s="14">
        <v>91</v>
      </c>
      <c r="C264" s="14">
        <v>815</v>
      </c>
      <c r="D264" s="14" t="str">
        <f>IFERROR(INDEX(Players!$B$2:$B$1249,MATCH($C264,Players!$A$2:$A$1249,0)),"")</f>
        <v>Erling Haaland</v>
      </c>
      <c r="E264" s="14">
        <v>22</v>
      </c>
      <c r="F264" s="14" t="str">
        <f>IFERROR(INDEX(Teams!$B$2:$B$49,MATCH($E264,Teams!$A$2:$A$49,0)),"")</f>
        <v>Norway</v>
      </c>
      <c r="G264" s="14" t="s">
        <v>342</v>
      </c>
      <c r="H264" s="14"/>
      <c r="I264" s="14" t="str">
        <f>IFERROR(INDEX(Matches!$C$2:$C$105,MATCH($B264,Matches!$A$2:$A$105,0)),"")</f>
        <v>Round of 16</v>
      </c>
    </row>
    <row r="265" spans="1:9" x14ac:dyDescent="0.3">
      <c r="A265" s="14">
        <v>264</v>
      </c>
      <c r="B265" s="14">
        <v>91</v>
      </c>
      <c r="C265" s="14">
        <v>815</v>
      </c>
      <c r="D265" s="14" t="str">
        <f>IFERROR(INDEX(Players!$B$2:$B$1249,MATCH($C265,Players!$A$2:$A$1249,0)),"")</f>
        <v>Erling Haaland</v>
      </c>
      <c r="E265" s="14">
        <v>22</v>
      </c>
      <c r="F265" s="14" t="str">
        <f>IFERROR(INDEX(Teams!$B$2:$B$49,MATCH($E265,Teams!$A$2:$A$49,0)),"")</f>
        <v>Norway</v>
      </c>
      <c r="G265" s="14" t="s">
        <v>260</v>
      </c>
      <c r="H265" s="14"/>
      <c r="I265" s="14" t="str">
        <f>IFERROR(INDEX(Matches!$C$2:$C$105,MATCH($B265,Matches!$A$2:$A$105,0)),"")</f>
        <v>Round of 16</v>
      </c>
    </row>
    <row r="266" spans="1:9" x14ac:dyDescent="0.3">
      <c r="A266" s="14">
        <v>265</v>
      </c>
      <c r="B266" s="14">
        <v>92</v>
      </c>
      <c r="C266" s="14">
        <v>718</v>
      </c>
      <c r="D266" s="14" t="str">
        <f>IFERROR(INDEX(Players!$B$2:$B$1249,MATCH($C266,Players!$A$2:$A$1249,0)),"")</f>
        <v>Julian Quinones</v>
      </c>
      <c r="E266" s="14">
        <v>8</v>
      </c>
      <c r="F266" s="14" t="str">
        <f>IFERROR(INDEX(Teams!$B$2:$B$49,MATCH($E266,Teams!$A$2:$A$49,0)),"")</f>
        <v>Mexico</v>
      </c>
      <c r="G266" s="14" t="s">
        <v>273</v>
      </c>
      <c r="H266" s="14"/>
      <c r="I266" s="14" t="str">
        <f>IFERROR(INDEX(Matches!$C$2:$C$105,MATCH($B266,Matches!$A$2:$A$105,0)),"")</f>
        <v>Round of 16</v>
      </c>
    </row>
    <row r="267" spans="1:9" x14ac:dyDescent="0.3">
      <c r="A267" s="14">
        <v>266</v>
      </c>
      <c r="B267" s="14">
        <v>92</v>
      </c>
      <c r="C267" s="14">
        <v>711</v>
      </c>
      <c r="D267" s="14" t="str">
        <f>IFERROR(INDEX(Players!$B$2:$B$1249,MATCH($C267,Players!$A$2:$A$1249,0)),"")</f>
        <v>Raul Jimenez</v>
      </c>
      <c r="E267" s="14">
        <v>8</v>
      </c>
      <c r="F267" s="14" t="str">
        <f>IFERROR(INDEX(Teams!$B$2:$B$49,MATCH($E267,Teams!$A$2:$A$49,0)),"")</f>
        <v>Mexico</v>
      </c>
      <c r="G267" s="14" t="s">
        <v>305</v>
      </c>
      <c r="H267" s="14" t="s">
        <v>248</v>
      </c>
      <c r="I267" s="14" t="str">
        <f>IFERROR(INDEX(Matches!$C$2:$C$105,MATCH($B267,Matches!$A$2:$A$105,0)),"")</f>
        <v>Round of 16</v>
      </c>
    </row>
    <row r="268" spans="1:9" x14ac:dyDescent="0.3">
      <c r="A268" s="14">
        <v>267</v>
      </c>
      <c r="B268" s="14">
        <v>92</v>
      </c>
      <c r="C268" s="14">
        <v>452</v>
      </c>
      <c r="D268" s="14" t="str">
        <f>IFERROR(INDEX(Players!$B$2:$B$1249,MATCH($C268,Players!$A$2:$A$1249,0)),"")</f>
        <v>Jude Bellingham</v>
      </c>
      <c r="E268" s="14">
        <v>5</v>
      </c>
      <c r="F268" s="14" t="str">
        <f>IFERROR(INDEX(Teams!$B$2:$B$49,MATCH($E268,Teams!$A$2:$A$49,0)),"")</f>
        <v>England</v>
      </c>
      <c r="G268" s="14" t="s">
        <v>278</v>
      </c>
      <c r="H268" s="14"/>
      <c r="I268" s="14" t="str">
        <f>IFERROR(INDEX(Matches!$C$2:$C$105,MATCH($B268,Matches!$A$2:$A$105,0)),"")</f>
        <v>Round of 16</v>
      </c>
    </row>
    <row r="269" spans="1:9" x14ac:dyDescent="0.3">
      <c r="A269" s="14">
        <v>268</v>
      </c>
      <c r="B269" s="14">
        <v>92</v>
      </c>
      <c r="C269" s="14">
        <v>452</v>
      </c>
      <c r="D269" s="14" t="str">
        <f>IFERROR(INDEX(Players!$B$2:$B$1249,MATCH($C269,Players!$A$2:$A$1249,0)),"")</f>
        <v>Jude Bellingham</v>
      </c>
      <c r="E269" s="14">
        <v>5</v>
      </c>
      <c r="F269" s="14" t="str">
        <f>IFERROR(INDEX(Teams!$B$2:$B$49,MATCH($E269,Teams!$A$2:$A$49,0)),"")</f>
        <v>England</v>
      </c>
      <c r="G269" s="14" t="s">
        <v>294</v>
      </c>
      <c r="H269" s="14"/>
      <c r="I269" s="14" t="str">
        <f>IFERROR(INDEX(Matches!$C$2:$C$105,MATCH($B269,Matches!$A$2:$A$105,0)),"")</f>
        <v>Round of 16</v>
      </c>
    </row>
    <row r="270" spans="1:9" x14ac:dyDescent="0.3">
      <c r="A270" s="14">
        <v>269</v>
      </c>
      <c r="B270" s="14">
        <v>92</v>
      </c>
      <c r="C270" s="14">
        <v>451</v>
      </c>
      <c r="D270" s="14" t="str">
        <f>IFERROR(INDEX(Players!$B$2:$B$1249,MATCH($C270,Players!$A$2:$A$1249,0)),"")</f>
        <v>Harry Kane</v>
      </c>
      <c r="E270" s="14">
        <v>5</v>
      </c>
      <c r="F270" s="14" t="str">
        <f>IFERROR(INDEX(Teams!$B$2:$B$49,MATCH($E270,Teams!$A$2:$A$49,0)),"")</f>
        <v>England</v>
      </c>
      <c r="G270" s="14" t="s">
        <v>280</v>
      </c>
      <c r="H270" s="14" t="s">
        <v>248</v>
      </c>
      <c r="I270" s="14" t="str">
        <f>IFERROR(INDEX(Matches!$C$2:$C$105,MATCH($B270,Matches!$A$2:$A$105,0)),"")</f>
        <v>Round of 16</v>
      </c>
    </row>
    <row r="271" spans="1:9" x14ac:dyDescent="0.3">
      <c r="A271" s="14">
        <v>270</v>
      </c>
      <c r="B271" s="14">
        <v>93</v>
      </c>
      <c r="C271" s="14">
        <v>1046</v>
      </c>
      <c r="D271" s="14" t="str">
        <f>IFERROR(INDEX(Players!$B$2:$B$1249,MATCH($C271,Players!$A$2:$A$1249,0)),"")</f>
        <v>Mikel Merino</v>
      </c>
      <c r="E271" s="14">
        <v>10</v>
      </c>
      <c r="F271" s="14" t="str">
        <f>IFERROR(INDEX(Teams!$B$2:$B$49,MATCH($E271,Teams!$A$2:$A$49,0)),"")</f>
        <v>Spain</v>
      </c>
      <c r="G271" s="14" t="s">
        <v>330</v>
      </c>
      <c r="H271" s="14"/>
      <c r="I271" s="14" t="str">
        <f>IFERROR(INDEX(Matches!$C$2:$C$105,MATCH($B271,Matches!$A$2:$A$105,0)),"")</f>
        <v>Round of 16</v>
      </c>
    </row>
    <row r="272" spans="1:9" x14ac:dyDescent="0.3">
      <c r="A272" s="14">
        <v>271</v>
      </c>
      <c r="B272" s="14">
        <v>94</v>
      </c>
      <c r="C272" s="14">
        <v>1213</v>
      </c>
      <c r="D272" s="14" t="str">
        <f>IFERROR(INDEX(Players!$B$2:$B$1249,MATCH($C272,Players!$A$2:$A$1249,0)),"")</f>
        <v>Malik Tillman</v>
      </c>
      <c r="E272" s="14">
        <v>12</v>
      </c>
      <c r="F272" s="14" t="str">
        <f>IFERROR(INDEX(Teams!$B$2:$B$49,MATCH($E272,Teams!$A$2:$A$49,0)),"")</f>
        <v>USA</v>
      </c>
      <c r="G272" s="14" t="s">
        <v>286</v>
      </c>
      <c r="H272" s="14"/>
      <c r="I272" s="14" t="str">
        <f>IFERROR(INDEX(Matches!$C$2:$C$105,MATCH($B272,Matches!$A$2:$A$105,0)),"")</f>
        <v>Round of 16</v>
      </c>
    </row>
    <row r="273" spans="1:9" x14ac:dyDescent="0.3">
      <c r="A273" s="14">
        <v>272</v>
      </c>
      <c r="B273" s="14">
        <v>94</v>
      </c>
      <c r="C273" s="14">
        <v>121</v>
      </c>
      <c r="D273" s="14" t="str">
        <f>IFERROR(INDEX(Players!$B$2:$B$1249,MATCH($C273,Players!$A$2:$A$1249,0)),"")</f>
        <v>Charles De Ketelaere</v>
      </c>
      <c r="E273" s="14">
        <v>2</v>
      </c>
      <c r="F273" s="14" t="str">
        <f>IFERROR(INDEX(Teams!$B$2:$B$49,MATCH($E273,Teams!$A$2:$A$49,0)),"")</f>
        <v>Belgium</v>
      </c>
      <c r="G273" s="14" t="s">
        <v>242</v>
      </c>
      <c r="H273" s="14"/>
      <c r="I273" s="14" t="str">
        <f>IFERROR(INDEX(Matches!$C$2:$C$105,MATCH($B273,Matches!$A$2:$A$105,0)),"")</f>
        <v>Round of 16</v>
      </c>
    </row>
    <row r="274" spans="1:9" x14ac:dyDescent="0.3">
      <c r="A274" s="14">
        <v>273</v>
      </c>
      <c r="B274" s="14">
        <v>94</v>
      </c>
      <c r="C274" s="14">
        <v>121</v>
      </c>
      <c r="D274" s="14" t="str">
        <f>IFERROR(INDEX(Players!$B$2:$B$1249,MATCH($C274,Players!$A$2:$A$1249,0)),"")</f>
        <v>Charles De Ketelaere</v>
      </c>
      <c r="E274" s="14">
        <v>2</v>
      </c>
      <c r="F274" s="14" t="str">
        <f>IFERROR(INDEX(Teams!$B$2:$B$49,MATCH($E274,Teams!$A$2:$A$49,0)),"")</f>
        <v>Belgium</v>
      </c>
      <c r="G274" s="14" t="s">
        <v>343</v>
      </c>
      <c r="H274" s="14"/>
      <c r="I274" s="14" t="str">
        <f>IFERROR(INDEX(Matches!$C$2:$C$105,MATCH($B274,Matches!$A$2:$A$105,0)),"")</f>
        <v>Round of 16</v>
      </c>
    </row>
    <row r="275" spans="1:9" x14ac:dyDescent="0.3">
      <c r="A275" s="14">
        <v>274</v>
      </c>
      <c r="B275" s="14">
        <v>94</v>
      </c>
      <c r="C275" s="14">
        <v>124</v>
      </c>
      <c r="D275" s="14" t="str">
        <f>IFERROR(INDEX(Players!$B$2:$B$1249,MATCH($C275,Players!$A$2:$A$1249,0)),"")</f>
        <v>Hans Vanaken</v>
      </c>
      <c r="E275" s="14">
        <v>2</v>
      </c>
      <c r="F275" s="14" t="str">
        <f>IFERROR(INDEX(Teams!$B$2:$B$49,MATCH($E275,Teams!$A$2:$A$49,0)),"")</f>
        <v>Belgium</v>
      </c>
      <c r="G275" s="14" t="s">
        <v>270</v>
      </c>
      <c r="H275" s="14"/>
      <c r="I275" s="14" t="str">
        <f>IFERROR(INDEX(Matches!$C$2:$C$105,MATCH($B275,Matches!$A$2:$A$105,0)),"")</f>
        <v>Round of 16</v>
      </c>
    </row>
    <row r="276" spans="1:9" x14ac:dyDescent="0.3">
      <c r="A276" s="14">
        <v>275</v>
      </c>
      <c r="B276" s="14">
        <v>94</v>
      </c>
      <c r="C276" s="14">
        <v>113</v>
      </c>
      <c r="D276" s="14" t="str">
        <f>IFERROR(INDEX(Players!$B$2:$B$1249,MATCH($C276,Players!$A$2:$A$1249,0)),"")</f>
        <v>Romelu Lukaku</v>
      </c>
      <c r="E276" s="14">
        <v>2</v>
      </c>
      <c r="F276" s="14" t="str">
        <f>IFERROR(INDEX(Teams!$B$2:$B$49,MATCH($E276,Teams!$A$2:$A$49,0)),"")</f>
        <v>Belgium</v>
      </c>
      <c r="G276" s="14" t="s">
        <v>262</v>
      </c>
      <c r="H276" s="14"/>
      <c r="I276" s="14" t="str">
        <f>IFERROR(INDEX(Matches!$C$2:$C$105,MATCH($B276,Matches!$A$2:$A$105,0)),"")</f>
        <v>Round of 16</v>
      </c>
    </row>
    <row r="277" spans="1:9" x14ac:dyDescent="0.3">
      <c r="A277" s="14">
        <v>276</v>
      </c>
      <c r="B277" s="14">
        <v>95</v>
      </c>
      <c r="C277" s="14">
        <v>39</v>
      </c>
      <c r="D277" s="14" t="str">
        <f>IFERROR(INDEX(Players!$B$2:$B$1249,MATCH($C277,Players!$A$2:$A$1249,0)),"")</f>
        <v>Cristian Romero</v>
      </c>
      <c r="E277" s="14">
        <v>1</v>
      </c>
      <c r="F277" s="14" t="str">
        <f>IFERROR(INDEX(Teams!$B$2:$B$49,MATCH($E277,Teams!$A$2:$A$49,0)),"")</f>
        <v>Argentina</v>
      </c>
      <c r="G277" s="14" t="s">
        <v>342</v>
      </c>
      <c r="H277" s="14"/>
      <c r="I277" s="14" t="str">
        <f>IFERROR(INDEX(Matches!$C$2:$C$105,MATCH($B277,Matches!$A$2:$A$105,0)),"")</f>
        <v>Round of 16</v>
      </c>
    </row>
    <row r="278" spans="1:9" x14ac:dyDescent="0.3">
      <c r="A278" s="14">
        <v>277</v>
      </c>
      <c r="B278" s="14">
        <v>95</v>
      </c>
      <c r="C278" s="14">
        <v>36</v>
      </c>
      <c r="D278" s="14" t="str">
        <f>IFERROR(INDEX(Players!$B$2:$B$1249,MATCH($C278,Players!$A$2:$A$1249,0)),"")</f>
        <v>Lionel Messi</v>
      </c>
      <c r="E278" s="14">
        <v>1</v>
      </c>
      <c r="F278" s="14" t="str">
        <f>IFERROR(INDEX(Teams!$B$2:$B$49,MATCH($E278,Teams!$A$2:$A$49,0)),"")</f>
        <v>Argentina</v>
      </c>
      <c r="G278" s="14" t="s">
        <v>247</v>
      </c>
      <c r="H278" s="14"/>
      <c r="I278" s="14" t="str">
        <f>IFERROR(INDEX(Matches!$C$2:$C$105,MATCH($B278,Matches!$A$2:$A$105,0)),"")</f>
        <v>Round of 16</v>
      </c>
    </row>
    <row r="279" spans="1:9" x14ac:dyDescent="0.3">
      <c r="A279" s="14">
        <v>278</v>
      </c>
      <c r="B279" s="14">
        <v>95</v>
      </c>
      <c r="C279" s="14">
        <v>50</v>
      </c>
      <c r="D279" s="14" t="str">
        <f>IFERROR(INDEX(Players!$B$2:$B$1249,MATCH($C279,Players!$A$2:$A$1249,0)),"")</f>
        <v>Enzo Fernandez</v>
      </c>
      <c r="E279" s="14">
        <v>1</v>
      </c>
      <c r="F279" s="14" t="str">
        <f>IFERROR(INDEX(Teams!$B$2:$B$49,MATCH($E279,Teams!$A$2:$A$49,0)),"")</f>
        <v>Argentina</v>
      </c>
      <c r="G279" s="14" t="s">
        <v>268</v>
      </c>
      <c r="H279" s="14"/>
      <c r="I279" s="14" t="str">
        <f>IFERROR(INDEX(Matches!$C$2:$C$105,MATCH($B279,Matches!$A$2:$A$105,0)),"")</f>
        <v>Round of 16</v>
      </c>
    </row>
    <row r="280" spans="1:9" x14ac:dyDescent="0.3">
      <c r="A280" s="14">
        <v>279</v>
      </c>
      <c r="B280" s="14">
        <v>95</v>
      </c>
      <c r="C280" s="14">
        <v>418</v>
      </c>
      <c r="D280" s="14" t="str">
        <f>IFERROR(INDEX(Players!$B$2:$B$1249,MATCH($C280,Players!$A$2:$A$1249,0)),"")</f>
        <v>Yasser Ibrahim</v>
      </c>
      <c r="E280" s="14">
        <v>19</v>
      </c>
      <c r="F280" s="14" t="str">
        <f>IFERROR(INDEX(Teams!$B$2:$B$49,MATCH($E280,Teams!$A$2:$A$49,0)),"")</f>
        <v>Egypt</v>
      </c>
      <c r="G280" s="14" t="s">
        <v>310</v>
      </c>
      <c r="H280" s="14"/>
      <c r="I280" s="14" t="str">
        <f>IFERROR(INDEX(Matches!$C$2:$C$105,MATCH($B280,Matches!$A$2:$A$105,0)),"")</f>
        <v>Round of 16</v>
      </c>
    </row>
    <row r="281" spans="1:9" x14ac:dyDescent="0.3">
      <c r="A281" s="14">
        <v>280</v>
      </c>
      <c r="B281" s="14">
        <v>95</v>
      </c>
      <c r="C281" s="14">
        <v>427</v>
      </c>
      <c r="D281" s="14" t="str">
        <f>IFERROR(INDEX(Players!$B$2:$B$1249,MATCH($C281,Players!$A$2:$A$1249,0)),"")</f>
        <v>Mostafa Zico</v>
      </c>
      <c r="E281" s="14">
        <v>19</v>
      </c>
      <c r="F281" s="14" t="str">
        <f>IFERROR(INDEX(Teams!$B$2:$B$49,MATCH($E281,Teams!$A$2:$A$49,0)),"")</f>
        <v>Egypt</v>
      </c>
      <c r="G281" s="14" t="s">
        <v>243</v>
      </c>
      <c r="H281" s="14"/>
      <c r="I281" s="14" t="str">
        <f>IFERROR(INDEX(Matches!$C$2:$C$105,MATCH($B281,Matches!$A$2:$A$105,0)),"")</f>
        <v>Round of 16</v>
      </c>
    </row>
    <row r="282" spans="1:9" x14ac:dyDescent="0.3">
      <c r="A282" s="14">
        <v>281</v>
      </c>
      <c r="B282" s="14">
        <v>97</v>
      </c>
      <c r="C282" s="14">
        <v>478</v>
      </c>
      <c r="D282" s="14" t="str">
        <f>IFERROR(INDEX(Players!$B$2:$B$1249,MATCH($C282,Players!$A$2:$A$1249,0)),"")</f>
        <v>Kylian Mbappe</v>
      </c>
      <c r="E282" s="14">
        <v>6</v>
      </c>
      <c r="F282" s="14" t="str">
        <f>IFERROR(INDEX(Teams!$B$2:$B$49,MATCH($E282,Teams!$A$2:$A$49,0)),"")</f>
        <v>France</v>
      </c>
      <c r="G282" s="14" t="s">
        <v>280</v>
      </c>
      <c r="H282" s="14"/>
      <c r="I282" s="14" t="str">
        <f>IFERROR(INDEX(Matches!$C$2:$C$105,MATCH($B282,Matches!$A$2:$A$105,0)),"")</f>
        <v>Quarter-final</v>
      </c>
    </row>
    <row r="283" spans="1:9" x14ac:dyDescent="0.3">
      <c r="A283" s="14">
        <v>282</v>
      </c>
      <c r="B283" s="14">
        <v>97</v>
      </c>
      <c r="C283" s="14">
        <v>475</v>
      </c>
      <c r="D283" s="14" t="str">
        <f>IFERROR(INDEX(Players!$B$2:$B$1249,MATCH($C283,Players!$A$2:$A$1249,0)),"")</f>
        <v>Ousmane Dembele</v>
      </c>
      <c r="E283" s="14">
        <v>6</v>
      </c>
      <c r="F283" s="14" t="str">
        <f>IFERROR(INDEX(Teams!$B$2:$B$49,MATCH($E283,Teams!$A$2:$A$49,0)),"")</f>
        <v>France</v>
      </c>
      <c r="G283" s="14" t="s">
        <v>308</v>
      </c>
      <c r="H283" s="14"/>
      <c r="I283" s="14" t="str">
        <f>IFERROR(INDEX(Matches!$C$2:$C$105,MATCH($B283,Matches!$A$2:$A$105,0)),"")</f>
        <v>Quarter-final</v>
      </c>
    </row>
    <row r="284" spans="1:9" x14ac:dyDescent="0.3">
      <c r="A284" s="14">
        <v>283</v>
      </c>
      <c r="B284" s="14">
        <v>98</v>
      </c>
      <c r="C284" s="14">
        <v>1048</v>
      </c>
      <c r="D284" s="14" t="str">
        <f>IFERROR(INDEX(Players!$B$2:$B$1249,MATCH($C284,Players!$A$2:$A$1249,0)),"")</f>
        <v>Fabian Ruiz</v>
      </c>
      <c r="E284" s="14">
        <v>10</v>
      </c>
      <c r="F284" s="14" t="str">
        <f>IFERROR(INDEX(Teams!$B$2:$B$49,MATCH($E284,Teams!$A$2:$A$49,0)),"")</f>
        <v>Spain</v>
      </c>
      <c r="G284" s="14" t="s">
        <v>298</v>
      </c>
      <c r="H284" s="14"/>
      <c r="I284" s="14" t="str">
        <f>IFERROR(INDEX(Matches!$C$2:$C$105,MATCH($B284,Matches!$A$2:$A$105,0)),"")</f>
        <v>Quarter-final</v>
      </c>
    </row>
    <row r="285" spans="1:9" x14ac:dyDescent="0.3">
      <c r="A285" s="14">
        <v>284</v>
      </c>
      <c r="B285" s="14">
        <v>98</v>
      </c>
      <c r="C285" s="14">
        <v>1046</v>
      </c>
      <c r="D285" s="14" t="str">
        <f>IFERROR(INDEX(Players!$B$2:$B$1249,MATCH($C285,Players!$A$2:$A$1249,0)),"")</f>
        <v>Mikel Merino</v>
      </c>
      <c r="E285" s="14">
        <v>10</v>
      </c>
      <c r="F285" s="14" t="str">
        <f>IFERROR(INDEX(Teams!$B$2:$B$49,MATCH($E285,Teams!$A$2:$A$49,0)),"")</f>
        <v>Spain</v>
      </c>
      <c r="G285" s="14" t="s">
        <v>297</v>
      </c>
      <c r="H285" s="14"/>
      <c r="I285" s="14" t="str">
        <f>IFERROR(INDEX(Matches!$C$2:$C$105,MATCH($B285,Matches!$A$2:$A$105,0)),"")</f>
        <v>Quarter-final</v>
      </c>
    </row>
    <row r="286" spans="1:9" x14ac:dyDescent="0.3">
      <c r="A286" s="14">
        <v>285</v>
      </c>
      <c r="B286" s="14">
        <v>98</v>
      </c>
      <c r="C286" s="14">
        <v>121</v>
      </c>
      <c r="D286" s="14" t="str">
        <f>IFERROR(INDEX(Players!$B$2:$B$1249,MATCH($C286,Players!$A$2:$A$1249,0)),"")</f>
        <v>Charles De Ketelaere</v>
      </c>
      <c r="E286" s="14">
        <v>2</v>
      </c>
      <c r="F286" s="14" t="str">
        <f>IFERROR(INDEX(Teams!$B$2:$B$49,MATCH($E286,Teams!$A$2:$A$49,0)),"")</f>
        <v>Belgium</v>
      </c>
      <c r="G286" s="14" t="s">
        <v>315</v>
      </c>
      <c r="H286" s="14"/>
      <c r="I286" s="14" t="str">
        <f>IFERROR(INDEX(Matches!$C$2:$C$105,MATCH($B286,Matches!$A$2:$A$105,0)),"")</f>
        <v>Quarter-final</v>
      </c>
    </row>
    <row r="287" spans="1:9" x14ac:dyDescent="0.3">
      <c r="A287" s="14">
        <v>286</v>
      </c>
      <c r="B287" s="14">
        <v>99</v>
      </c>
      <c r="C287" s="14">
        <v>827</v>
      </c>
      <c r="D287" s="14" t="str">
        <f>IFERROR(INDEX(Players!$B$2:$B$1249,MATCH($C287,Players!$A$2:$A$1249,0)),"")</f>
        <v>Andreas Schjelderup</v>
      </c>
      <c r="E287" s="14">
        <v>22</v>
      </c>
      <c r="F287" s="14" t="str">
        <f>IFERROR(INDEX(Teams!$B$2:$B$49,MATCH($E287,Teams!$A$2:$A$49,0)),"")</f>
        <v>Norway</v>
      </c>
      <c r="G287" s="14" t="s">
        <v>278</v>
      </c>
      <c r="H287" s="14"/>
      <c r="I287" s="14" t="str">
        <f>IFERROR(INDEX(Matches!$C$2:$C$105,MATCH($B287,Matches!$A$2:$A$105,0)),"")</f>
        <v>Quarter-final</v>
      </c>
    </row>
    <row r="288" spans="1:9" x14ac:dyDescent="0.3">
      <c r="A288" s="14">
        <v>287</v>
      </c>
      <c r="B288" s="14">
        <v>99</v>
      </c>
      <c r="C288" s="14">
        <v>452</v>
      </c>
      <c r="D288" s="14" t="str">
        <f>IFERROR(INDEX(Players!$B$2:$B$1249,MATCH($C288,Players!$A$2:$A$1249,0)),"")</f>
        <v>Jude Bellingham</v>
      </c>
      <c r="E288" s="14">
        <v>5</v>
      </c>
      <c r="F288" s="14" t="str">
        <f>IFERROR(INDEX(Teams!$B$2:$B$49,MATCH($E288,Teams!$A$2:$A$49,0)),"")</f>
        <v>England</v>
      </c>
      <c r="G288" s="14" t="s">
        <v>344</v>
      </c>
      <c r="H288" s="14"/>
      <c r="I288" s="14" t="str">
        <f>IFERROR(INDEX(Matches!$C$2:$C$105,MATCH($B288,Matches!$A$2:$A$105,0)),"")</f>
        <v>Quarter-final</v>
      </c>
    </row>
    <row r="289" spans="1:9" x14ac:dyDescent="0.3">
      <c r="A289" s="14">
        <v>288</v>
      </c>
      <c r="B289" s="14">
        <v>99</v>
      </c>
      <c r="C289" s="14">
        <v>452</v>
      </c>
      <c r="D289" s="14" t="str">
        <f>IFERROR(INDEX(Players!$B$2:$B$1249,MATCH($C289,Players!$A$2:$A$1249,0)),"")</f>
        <v>Jude Bellingham</v>
      </c>
      <c r="E289" s="14">
        <v>5</v>
      </c>
      <c r="F289" s="14" t="str">
        <f>IFERROR(INDEX(Teams!$B$2:$B$49,MATCH($E289,Teams!$A$2:$A$49,0)),"")</f>
        <v>England</v>
      </c>
      <c r="G289" s="14" t="s">
        <v>345</v>
      </c>
      <c r="H289" s="14"/>
      <c r="I289" s="14" t="str">
        <f>IFERROR(INDEX(Matches!$C$2:$C$105,MATCH($B289,Matches!$A$2:$A$105,0)),"")</f>
        <v>Quarter-final</v>
      </c>
    </row>
    <row r="290" spans="1:9" x14ac:dyDescent="0.3">
      <c r="A290" s="14">
        <v>289</v>
      </c>
      <c r="B290" s="14">
        <v>100</v>
      </c>
      <c r="C290" s="14">
        <v>46</v>
      </c>
      <c r="D290" s="14" t="str">
        <f>IFERROR(INDEX(Players!$B$2:$B$1249,MATCH($C290,Players!$A$2:$A$1249,0)),"")</f>
        <v>Alexis Mac Allister</v>
      </c>
      <c r="E290" s="14">
        <v>1</v>
      </c>
      <c r="F290" s="14" t="str">
        <f>IFERROR(INDEX(Teams!$B$2:$B$49,MATCH($E290,Teams!$A$2:$A$49,0)),"")</f>
        <v>Argentina</v>
      </c>
      <c r="G290" s="14" t="s">
        <v>284</v>
      </c>
      <c r="H290" s="14"/>
      <c r="I290" s="14" t="str">
        <f>IFERROR(INDEX(Matches!$C$2:$C$105,MATCH($B290,Matches!$A$2:$A$105,0)),"")</f>
        <v>Quarter-final</v>
      </c>
    </row>
    <row r="291" spans="1:9" x14ac:dyDescent="0.3">
      <c r="A291" s="14">
        <v>290</v>
      </c>
      <c r="B291" s="14">
        <v>100</v>
      </c>
      <c r="C291" s="14">
        <v>35</v>
      </c>
      <c r="D291" s="14" t="str">
        <f>IFERROR(INDEX(Players!$B$2:$B$1249,MATCH($C291,Players!$A$2:$A$1249,0)),"")</f>
        <v>Julian Alvarez</v>
      </c>
      <c r="E291" s="14">
        <v>1</v>
      </c>
      <c r="F291" s="14" t="str">
        <f>IFERROR(INDEX(Teams!$B$2:$B$49,MATCH($E291,Teams!$A$2:$A$49,0)),"")</f>
        <v>Argentina</v>
      </c>
      <c r="G291" s="14" t="s">
        <v>346</v>
      </c>
      <c r="H291" s="14"/>
      <c r="I291" s="14" t="str">
        <f>IFERROR(INDEX(Matches!$C$2:$C$105,MATCH($B291,Matches!$A$2:$A$105,0)),"")</f>
        <v>Quarter-final</v>
      </c>
    </row>
    <row r="292" spans="1:9" x14ac:dyDescent="0.3">
      <c r="A292" s="14">
        <v>291</v>
      </c>
      <c r="B292" s="14">
        <v>100</v>
      </c>
      <c r="C292" s="14">
        <v>48</v>
      </c>
      <c r="D292" s="14" t="str">
        <f>IFERROR(INDEX(Players!$B$2:$B$1249,MATCH($C292,Players!$A$2:$A$1249,0)),"")</f>
        <v>Lautaro Martinez</v>
      </c>
      <c r="E292" s="14">
        <v>1</v>
      </c>
      <c r="F292" s="14" t="str">
        <f>IFERROR(INDEX(Teams!$B$2:$B$49,MATCH($E292,Teams!$A$2:$A$49,0)),"")</f>
        <v>Argentina</v>
      </c>
      <c r="G292" s="14" t="s">
        <v>347</v>
      </c>
      <c r="H292" s="14"/>
      <c r="I292" s="14" t="str">
        <f>IFERROR(INDEX(Matches!$C$2:$C$105,MATCH($B292,Matches!$A$2:$A$105,0)),"")</f>
        <v>Quarter-final</v>
      </c>
    </row>
    <row r="293" spans="1:9" x14ac:dyDescent="0.3">
      <c r="A293" s="14">
        <v>292</v>
      </c>
      <c r="B293" s="14">
        <v>100</v>
      </c>
      <c r="C293" s="14">
        <v>1103</v>
      </c>
      <c r="D293" s="14" t="str">
        <f>IFERROR(INDEX(Players!$B$2:$B$1249,MATCH($C293,Players!$A$2:$A$1249,0)),"")</f>
        <v>Dan Ndoye</v>
      </c>
      <c r="E293" s="14">
        <v>11</v>
      </c>
      <c r="F293" s="14" t="str">
        <f>IFERROR(INDEX(Teams!$B$2:$B$49,MATCH($E293,Teams!$A$2:$A$49,0)),"")</f>
        <v>Switzerland</v>
      </c>
      <c r="G293" s="14" t="s">
        <v>243</v>
      </c>
      <c r="H293" s="14"/>
      <c r="I293" s="14" t="str">
        <f>IFERROR(INDEX(Matches!$C$2:$C$105,MATCH($B293,Matches!$A$2:$A$105,0)),"")</f>
        <v>Quarter-final</v>
      </c>
    </row>
    <row r="294" spans="1:9" x14ac:dyDescent="0.3">
      <c r="A294" s="14">
        <v>293</v>
      </c>
      <c r="B294" s="14">
        <v>101</v>
      </c>
      <c r="C294" s="14">
        <v>1061</v>
      </c>
      <c r="D294" s="14" t="str">
        <f>IFERROR(INDEX(Players!$B$2:$B$1249,MATCH($C294,Players!$A$2:$A$1249,0)),"")</f>
        <v>Mikel Oyarzabal</v>
      </c>
      <c r="E294" s="14">
        <v>10</v>
      </c>
      <c r="F294" s="14" t="str">
        <f>IFERROR(INDEX(Teams!$B$2:$B$49,MATCH($E294,Teams!$A$2:$A$49,0)),"")</f>
        <v>Spain</v>
      </c>
      <c r="G294" s="14" t="s">
        <v>348</v>
      </c>
      <c r="H294" s="14" t="s">
        <v>248</v>
      </c>
      <c r="I294" s="14" t="str">
        <f>IFERROR(INDEX(Matches!$C$2:$C$105,MATCH($B294,Matches!$A$2:$A$105,0)),"")</f>
        <v>Semi-final</v>
      </c>
    </row>
    <row r="295" spans="1:9" x14ac:dyDescent="0.3">
      <c r="A295" s="14">
        <v>294</v>
      </c>
      <c r="B295" s="14">
        <v>101</v>
      </c>
      <c r="C295" s="14">
        <v>1052</v>
      </c>
      <c r="D295" s="14" t="str">
        <f>IFERROR(INDEX(Players!$B$2:$B$1249,MATCH($C295,Players!$A$2:$A$1249,0)),"")</f>
        <v>Pedro Porro</v>
      </c>
      <c r="E295" s="14">
        <v>10</v>
      </c>
      <c r="F295" s="14" t="str">
        <f>IFERROR(INDEX(Teams!$B$2:$B$49,MATCH($E295,Teams!$A$2:$A$49,0)),"")</f>
        <v>Spain</v>
      </c>
      <c r="G295" s="14" t="s">
        <v>311</v>
      </c>
      <c r="H295" s="14"/>
      <c r="I295" s="14" t="str">
        <f>IFERROR(INDEX(Matches!$C$2:$C$105,MATCH($B295,Matches!$A$2:$A$105,0)),"")</f>
        <v>Semi-final</v>
      </c>
    </row>
    <row r="296" spans="1:9" x14ac:dyDescent="0.3">
      <c r="A296" s="14">
        <v>295</v>
      </c>
      <c r="B296" s="14">
        <v>102</v>
      </c>
      <c r="C296" s="14">
        <v>460</v>
      </c>
      <c r="D296" s="14" t="str">
        <f>IFERROR(INDEX(Players!$B$2:$B$1249,MATCH($C296,Players!$A$2:$A$1249,0)),"")</f>
        <v>Anthony Gordon</v>
      </c>
      <c r="E296" s="14">
        <v>5</v>
      </c>
      <c r="F296" s="14" t="str">
        <f>IFERROR(INDEX(Teams!$B$2:$B$49,MATCH($E296,Teams!$A$2:$A$49,0)),"")</f>
        <v>England</v>
      </c>
      <c r="G296" s="14" t="s">
        <v>250</v>
      </c>
      <c r="H296" s="14"/>
      <c r="I296" s="14" t="str">
        <f>IFERROR(INDEX(Matches!$C$2:$C$105,MATCH($B296,Matches!$A$2:$A$105,0)),"")</f>
        <v>Semi-final</v>
      </c>
    </row>
    <row r="297" spans="1:9" x14ac:dyDescent="0.3">
      <c r="A297" s="14">
        <v>296</v>
      </c>
      <c r="B297" s="14">
        <v>102</v>
      </c>
      <c r="C297" s="14">
        <v>50</v>
      </c>
      <c r="D297" s="14" t="str">
        <f>IFERROR(INDEX(Players!$B$2:$B$1249,MATCH($C297,Players!$A$2:$A$1249,0)),"")</f>
        <v>Enzo Fernandez</v>
      </c>
      <c r="E297" s="14">
        <v>1</v>
      </c>
      <c r="F297" s="14" t="str">
        <f>IFERROR(INDEX(Teams!$B$2:$B$49,MATCH($E297,Teams!$A$2:$A$49,0)),"")</f>
        <v>Argentina</v>
      </c>
      <c r="G297" s="14" t="s">
        <v>314</v>
      </c>
      <c r="H297" s="14"/>
      <c r="I297" s="14" t="str">
        <f>IFERROR(INDEX(Matches!$C$2:$C$105,MATCH($B297,Matches!$A$2:$A$105,0)),"")</f>
        <v>Semi-final</v>
      </c>
    </row>
    <row r="298" spans="1:9" x14ac:dyDescent="0.3">
      <c r="A298" s="14">
        <v>297</v>
      </c>
      <c r="B298" s="14">
        <v>102</v>
      </c>
      <c r="C298" s="14">
        <v>48</v>
      </c>
      <c r="D298" s="14" t="str">
        <f>IFERROR(INDEX(Players!$B$2:$B$1249,MATCH($C298,Players!$A$2:$A$1249,0)),"")</f>
        <v>Lautaro Martinez</v>
      </c>
      <c r="E298" s="14">
        <v>1</v>
      </c>
      <c r="F298" s="14" t="str">
        <f>IFERROR(INDEX(Teams!$B$2:$B$49,MATCH($E298,Teams!$A$2:$A$49,0)),"")</f>
        <v>Argentina</v>
      </c>
      <c r="G298" s="14" t="s">
        <v>336</v>
      </c>
      <c r="H298" s="14"/>
      <c r="I298" s="14" t="str">
        <f>IFERROR(INDEX(Matches!$C$2:$C$105,MATCH($B298,Matches!$A$2:$A$105,0)),"")</f>
        <v>Semi-final</v>
      </c>
    </row>
    <row r="299" spans="1:9" x14ac:dyDescent="0.3">
      <c r="A299" s="14">
        <v>298</v>
      </c>
      <c r="B299" s="14">
        <v>103</v>
      </c>
      <c r="C299" s="14">
        <v>478</v>
      </c>
      <c r="D299" s="14" t="str">
        <f>IFERROR(INDEX(Players!$B$2:$B$1249,MATCH($C299,Players!$A$2:$A$1249,0)),"")</f>
        <v>Kylian Mbappe</v>
      </c>
      <c r="E299" s="14">
        <v>6</v>
      </c>
      <c r="F299" s="14" t="str">
        <f>IFERROR(INDEX(Teams!$B$2:$B$49,MATCH($E299,Teams!$A$2:$A$49,0)),"")</f>
        <v>France</v>
      </c>
      <c r="G299" s="14" t="s">
        <v>320</v>
      </c>
      <c r="H299" s="14"/>
      <c r="I299" s="14" t="str">
        <f>IFERROR(INDEX(Matches!$C$2:$C$105,MATCH($B299,Matches!$A$2:$A$105,0)),"")</f>
        <v>Bronze final</v>
      </c>
    </row>
    <row r="300" spans="1:9" x14ac:dyDescent="0.3">
      <c r="A300" s="14">
        <v>299</v>
      </c>
      <c r="B300" s="14">
        <v>103</v>
      </c>
      <c r="C300" s="14">
        <v>480</v>
      </c>
      <c r="D300" s="14" t="str">
        <f>IFERROR(INDEX(Players!$B$2:$B$1249,MATCH($C300,Players!$A$2:$A$1249,0)),"")</f>
        <v>Bradley Barcola</v>
      </c>
      <c r="E300" s="14">
        <v>6</v>
      </c>
      <c r="F300" s="14" t="str">
        <f>IFERROR(INDEX(Teams!$B$2:$B$49,MATCH($E300,Teams!$A$2:$A$49,0)),"")</f>
        <v>France</v>
      </c>
      <c r="G300" s="14" t="s">
        <v>303</v>
      </c>
      <c r="H300" s="14"/>
      <c r="I300" s="14" t="str">
        <f>IFERROR(INDEX(Matches!$C$2:$C$105,MATCH($B300,Matches!$A$2:$A$105,0)),"")</f>
        <v>Bronze final</v>
      </c>
    </row>
    <row r="301" spans="1:9" x14ac:dyDescent="0.3">
      <c r="A301" s="14">
        <v>300</v>
      </c>
      <c r="B301" s="14">
        <v>103</v>
      </c>
      <c r="C301" s="14">
        <v>478</v>
      </c>
      <c r="D301" s="14" t="str">
        <f>IFERROR(INDEX(Players!$B$2:$B$1249,MATCH($C301,Players!$A$2:$A$1249,0)),"")</f>
        <v>Kylian Mbappe</v>
      </c>
      <c r="E301" s="14">
        <v>6</v>
      </c>
      <c r="F301" s="14" t="str">
        <f>IFERROR(INDEX(Teams!$B$2:$B$49,MATCH($E301,Teams!$A$2:$A$49,0)),"")</f>
        <v>France</v>
      </c>
      <c r="G301" s="14" t="s">
        <v>308</v>
      </c>
      <c r="H301" s="14"/>
      <c r="I301" s="14" t="str">
        <f>IFERROR(INDEX(Matches!$C$2:$C$105,MATCH($B301,Matches!$A$2:$A$105,0)),"")</f>
        <v>Bronze final</v>
      </c>
    </row>
    <row r="302" spans="1:9" x14ac:dyDescent="0.3">
      <c r="A302" s="14">
        <v>301</v>
      </c>
      <c r="B302" s="14">
        <v>103</v>
      </c>
      <c r="C302" s="14">
        <v>475</v>
      </c>
      <c r="D302" s="14" t="str">
        <f>IFERROR(INDEX(Players!$B$2:$B$1249,MATCH($C302,Players!$A$2:$A$1249,0)),"")</f>
        <v>Ousmane Dembele</v>
      </c>
      <c r="E302" s="14">
        <v>6</v>
      </c>
      <c r="F302" s="14" t="str">
        <f>IFERROR(INDEX(Teams!$B$2:$B$49,MATCH($E302,Teams!$A$2:$A$49,0)),"")</f>
        <v>France</v>
      </c>
      <c r="G302" s="14" t="s">
        <v>301</v>
      </c>
      <c r="H302" s="14"/>
      <c r="I302" s="14" t="str">
        <f>IFERROR(INDEX(Matches!$C$2:$C$105,MATCH($B302,Matches!$A$2:$A$105,0)),"")</f>
        <v>Bronze final</v>
      </c>
    </row>
    <row r="303" spans="1:9" x14ac:dyDescent="0.3">
      <c r="A303" s="14">
        <v>302</v>
      </c>
      <c r="B303" s="14">
        <v>103</v>
      </c>
      <c r="C303" s="14">
        <v>446</v>
      </c>
      <c r="D303" s="14" t="str">
        <f>IFERROR(INDEX(Players!$B$2:$B$1249,MATCH($C303,Players!$A$2:$A$1249,0)),"")</f>
        <v>Declan Rice</v>
      </c>
      <c r="E303" s="14">
        <v>5</v>
      </c>
      <c r="F303" s="14" t="str">
        <f>IFERROR(INDEX(Teams!$B$2:$B$49,MATCH($E303,Teams!$A$2:$A$49,0)),"")</f>
        <v>England</v>
      </c>
      <c r="G303" s="14" t="s">
        <v>292</v>
      </c>
      <c r="H303" s="14"/>
      <c r="I303" s="14" t="str">
        <f>IFERROR(INDEX(Matches!$C$2:$C$105,MATCH($B303,Matches!$A$2:$A$105,0)),"")</f>
        <v>Bronze final</v>
      </c>
    </row>
    <row r="304" spans="1:9" x14ac:dyDescent="0.3">
      <c r="A304" s="14">
        <v>303</v>
      </c>
      <c r="B304" s="14">
        <v>103</v>
      </c>
      <c r="C304" s="14">
        <v>444</v>
      </c>
      <c r="D304" s="14" t="str">
        <f>IFERROR(INDEX(Players!$B$2:$B$1249,MATCH($C304,Players!$A$2:$A$1249,0)),"")</f>
        <v>Ezri Konsa</v>
      </c>
      <c r="E304" s="14">
        <v>5</v>
      </c>
      <c r="F304" s="14" t="str">
        <f>IFERROR(INDEX(Teams!$B$2:$B$49,MATCH($E304,Teams!$A$2:$A$49,0)),"")</f>
        <v>England</v>
      </c>
      <c r="G304" s="14" t="s">
        <v>349</v>
      </c>
      <c r="H304" s="14"/>
      <c r="I304" s="14" t="str">
        <f>IFERROR(INDEX(Matches!$C$2:$C$105,MATCH($B304,Matches!$A$2:$A$105,0)),"")</f>
        <v>Bronze final</v>
      </c>
    </row>
    <row r="305" spans="1:9" x14ac:dyDescent="0.3">
      <c r="A305" s="14">
        <v>304</v>
      </c>
      <c r="B305" s="14">
        <v>103</v>
      </c>
      <c r="C305" s="14">
        <v>449</v>
      </c>
      <c r="D305" s="14" t="str">
        <f>IFERROR(INDEX(Players!$B$2:$B$1249,MATCH($C305,Players!$A$2:$A$1249,0)),"")</f>
        <v>Bukayo Saka</v>
      </c>
      <c r="E305" s="14">
        <v>5</v>
      </c>
      <c r="F305" s="14" t="str">
        <f>IFERROR(INDEX(Teams!$B$2:$B$49,MATCH($E305,Teams!$A$2:$A$49,0)),"")</f>
        <v>England</v>
      </c>
      <c r="G305" s="14" t="s">
        <v>350</v>
      </c>
      <c r="H305" s="14"/>
      <c r="I305" s="14" t="str">
        <f>IFERROR(INDEX(Matches!$C$2:$C$105,MATCH($B305,Matches!$A$2:$A$105,0)),"")</f>
        <v>Bronze final</v>
      </c>
    </row>
    <row r="306" spans="1:9" x14ac:dyDescent="0.3">
      <c r="A306" s="14">
        <v>305</v>
      </c>
      <c r="B306" s="14">
        <v>103</v>
      </c>
      <c r="C306" s="14">
        <v>449</v>
      </c>
      <c r="D306" s="14" t="str">
        <f>IFERROR(INDEX(Players!$B$2:$B$1249,MATCH($C306,Players!$A$2:$A$1249,0)),"")</f>
        <v>Bukayo Saka</v>
      </c>
      <c r="E306" s="14">
        <v>5</v>
      </c>
      <c r="F306" s="14" t="str">
        <f>IFERROR(INDEX(Teams!$B$2:$B$49,MATCH($E306,Teams!$A$2:$A$49,0)),"")</f>
        <v>England</v>
      </c>
      <c r="G306" s="14" t="s">
        <v>282</v>
      </c>
      <c r="H306" s="14"/>
      <c r="I306" s="14" t="str">
        <f>IFERROR(INDEX(Matches!$C$2:$C$105,MATCH($B306,Matches!$A$2:$A$105,0)),"")</f>
        <v>Bronze final</v>
      </c>
    </row>
    <row r="307" spans="1:9" x14ac:dyDescent="0.3">
      <c r="A307" s="14">
        <v>306</v>
      </c>
      <c r="B307" s="14">
        <v>103</v>
      </c>
      <c r="C307" s="14">
        <v>449</v>
      </c>
      <c r="D307" s="14" t="str">
        <f>IFERROR(INDEX(Players!$B$2:$B$1249,MATCH($C307,Players!$A$2:$A$1249,0)),"")</f>
        <v>Bukayo Saka</v>
      </c>
      <c r="E307" s="14">
        <v>5</v>
      </c>
      <c r="F307" s="14" t="str">
        <f>IFERROR(INDEX(Teams!$B$2:$B$49,MATCH($E307,Teams!$A$2:$A$49,0)),"")</f>
        <v>England</v>
      </c>
      <c r="G307" s="14" t="s">
        <v>329</v>
      </c>
      <c r="H307" s="14" t="s">
        <v>248</v>
      </c>
      <c r="I307" s="14" t="str">
        <f>IFERROR(INDEX(Matches!$C$2:$C$105,MATCH($B307,Matches!$A$2:$A$105,0)),"")</f>
        <v>Bronze final</v>
      </c>
    </row>
    <row r="308" spans="1:9" x14ac:dyDescent="0.3">
      <c r="A308" s="14">
        <v>307</v>
      </c>
      <c r="B308" s="14">
        <v>103</v>
      </c>
      <c r="C308" s="14">
        <v>452</v>
      </c>
      <c r="D308" s="14" t="str">
        <f>IFERROR(INDEX(Players!$B$2:$B$1249,MATCH($C308,Players!$A$2:$A$1249,0)),"")</f>
        <v>Jude Bellingham</v>
      </c>
      <c r="E308" s="14">
        <v>5</v>
      </c>
      <c r="F308" s="14" t="str">
        <f>IFERROR(INDEX(Teams!$B$2:$B$49,MATCH($E308,Teams!$A$2:$A$49,0)),"")</f>
        <v>England</v>
      </c>
      <c r="G308" s="14" t="s">
        <v>288</v>
      </c>
      <c r="H308" s="14"/>
      <c r="I308" s="14" t="str">
        <f>IFERROR(INDEX(Matches!$C$2:$C$105,MATCH($B308,Matches!$A$2:$A$105,0)),"")</f>
        <v>Bronze final</v>
      </c>
    </row>
    <row r="309" spans="1:9" x14ac:dyDescent="0.3">
      <c r="A309" s="14">
        <v>308</v>
      </c>
      <c r="B309" s="14">
        <v>104</v>
      </c>
      <c r="C309" s="14">
        <v>1047</v>
      </c>
      <c r="D309" s="14" t="str">
        <f>IFERROR(INDEX(Players!$B$2:$B$1249,MATCH($C309,Players!$A$2:$A$1249,0)),"")</f>
        <v>Ferran Torres</v>
      </c>
      <c r="E309" s="14">
        <v>10</v>
      </c>
      <c r="F309" s="14" t="str">
        <f>IFERROR(INDEX(Teams!$B$2:$B$49,MATCH($E309,Teams!$A$2:$A$49,0)),"")</f>
        <v>Spain</v>
      </c>
      <c r="G309" s="14" t="s">
        <v>351</v>
      </c>
      <c r="H309" s="14"/>
      <c r="I309" s="14" t="str">
        <f>IFERROR(INDEX(Matches!$C$2:$C$105,MATCH($B309,Matches!$A$2:$A$105,0)),"")</f>
        <v>Final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4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22" customWidth="1"/>
    <col min="3" max="3" width="8" customWidth="1"/>
    <col min="4" max="4" width="18" customWidth="1"/>
    <col min="5" max="5" width="9" customWidth="1"/>
    <col min="6" max="6" width="12" customWidth="1"/>
  </cols>
  <sheetData>
    <row r="1" spans="1:6" x14ac:dyDescent="0.3">
      <c r="A1" s="13" t="s">
        <v>44</v>
      </c>
      <c r="B1" s="13" t="s">
        <v>239</v>
      </c>
      <c r="C1" s="13" t="s">
        <v>14</v>
      </c>
      <c r="D1" s="13" t="s">
        <v>60</v>
      </c>
      <c r="E1" s="13" t="s">
        <v>46</v>
      </c>
      <c r="F1" s="13" t="s">
        <v>352</v>
      </c>
    </row>
    <row r="2" spans="1:6" x14ac:dyDescent="0.3">
      <c r="A2" s="14">
        <v>1</v>
      </c>
      <c r="B2" s="14" t="s">
        <v>353</v>
      </c>
      <c r="C2" s="14">
        <v>25</v>
      </c>
      <c r="D2" s="14" t="str">
        <f>IFERROR(INDEX(Teams!$B$2:$B$49,MATCH($C2,Teams!$A$2:$A$49,0)),"")</f>
        <v>Algeria</v>
      </c>
      <c r="E2" s="14" t="s">
        <v>354</v>
      </c>
      <c r="F2" s="14">
        <v>1</v>
      </c>
    </row>
    <row r="3" spans="1:6" x14ac:dyDescent="0.3">
      <c r="A3" s="14">
        <v>2</v>
      </c>
      <c r="B3" s="14" t="s">
        <v>355</v>
      </c>
      <c r="C3" s="14">
        <v>25</v>
      </c>
      <c r="D3" s="14" t="str">
        <f>IFERROR(INDEX(Teams!$B$2:$B$49,MATCH($C3,Teams!$A$2:$A$49,0)),"")</f>
        <v>Algeria</v>
      </c>
      <c r="E3" s="14" t="s">
        <v>356</v>
      </c>
      <c r="F3" s="14">
        <v>2</v>
      </c>
    </row>
    <row r="4" spans="1:6" x14ac:dyDescent="0.3">
      <c r="A4" s="14">
        <v>3</v>
      </c>
      <c r="B4" s="14" t="s">
        <v>357</v>
      </c>
      <c r="C4" s="14">
        <v>25</v>
      </c>
      <c r="D4" s="14" t="str">
        <f>IFERROR(INDEX(Teams!$B$2:$B$49,MATCH($C4,Teams!$A$2:$A$49,0)),"")</f>
        <v>Algeria</v>
      </c>
      <c r="E4" s="14" t="s">
        <v>356</v>
      </c>
      <c r="F4" s="14">
        <v>3</v>
      </c>
    </row>
    <row r="5" spans="1:6" x14ac:dyDescent="0.3">
      <c r="A5" s="14">
        <v>4</v>
      </c>
      <c r="B5" s="14" t="s">
        <v>358</v>
      </c>
      <c r="C5" s="14">
        <v>25</v>
      </c>
      <c r="D5" s="14" t="str">
        <f>IFERROR(INDEX(Teams!$B$2:$B$49,MATCH($C5,Teams!$A$2:$A$49,0)),"")</f>
        <v>Algeria</v>
      </c>
      <c r="E5" s="14" t="s">
        <v>356</v>
      </c>
      <c r="F5" s="14">
        <v>4</v>
      </c>
    </row>
    <row r="6" spans="1:6" x14ac:dyDescent="0.3">
      <c r="A6" s="14">
        <v>5</v>
      </c>
      <c r="B6" s="14" t="s">
        <v>359</v>
      </c>
      <c r="C6" s="14">
        <v>25</v>
      </c>
      <c r="D6" s="14" t="str">
        <f>IFERROR(INDEX(Teams!$B$2:$B$49,MATCH($C6,Teams!$A$2:$A$49,0)),"")</f>
        <v>Algeria</v>
      </c>
      <c r="E6" s="14" t="s">
        <v>356</v>
      </c>
      <c r="F6" s="14">
        <v>5</v>
      </c>
    </row>
    <row r="7" spans="1:6" x14ac:dyDescent="0.3">
      <c r="A7" s="14">
        <v>6</v>
      </c>
      <c r="B7" s="14" t="s">
        <v>360</v>
      </c>
      <c r="C7" s="14">
        <v>25</v>
      </c>
      <c r="D7" s="14" t="str">
        <f>IFERROR(INDEX(Teams!$B$2:$B$49,MATCH($C7,Teams!$A$2:$A$49,0)),"")</f>
        <v>Algeria</v>
      </c>
      <c r="E7" s="14" t="s">
        <v>361</v>
      </c>
      <c r="F7" s="14">
        <v>6</v>
      </c>
    </row>
    <row r="8" spans="1:6" x14ac:dyDescent="0.3">
      <c r="A8" s="14">
        <v>7</v>
      </c>
      <c r="B8" s="14" t="s">
        <v>362</v>
      </c>
      <c r="C8" s="14">
        <v>25</v>
      </c>
      <c r="D8" s="14" t="str">
        <f>IFERROR(INDEX(Teams!$B$2:$B$49,MATCH($C8,Teams!$A$2:$A$49,0)),"")</f>
        <v>Algeria</v>
      </c>
      <c r="E8" s="14" t="s">
        <v>363</v>
      </c>
      <c r="F8" s="14">
        <v>7</v>
      </c>
    </row>
    <row r="9" spans="1:6" x14ac:dyDescent="0.3">
      <c r="A9" s="14">
        <v>8</v>
      </c>
      <c r="B9" s="14" t="s">
        <v>364</v>
      </c>
      <c r="C9" s="14">
        <v>25</v>
      </c>
      <c r="D9" s="14" t="str">
        <f>IFERROR(INDEX(Teams!$B$2:$B$49,MATCH($C9,Teams!$A$2:$A$49,0)),"")</f>
        <v>Algeria</v>
      </c>
      <c r="E9" s="14" t="s">
        <v>361</v>
      </c>
      <c r="F9" s="14">
        <v>8</v>
      </c>
    </row>
    <row r="10" spans="1:6" x14ac:dyDescent="0.3">
      <c r="A10" s="14">
        <v>9</v>
      </c>
      <c r="B10" s="14" t="s">
        <v>365</v>
      </c>
      <c r="C10" s="14">
        <v>25</v>
      </c>
      <c r="D10" s="14" t="str">
        <f>IFERROR(INDEX(Teams!$B$2:$B$49,MATCH($C10,Teams!$A$2:$A$49,0)),"")</f>
        <v>Algeria</v>
      </c>
      <c r="E10" s="14" t="s">
        <v>363</v>
      </c>
      <c r="F10" s="14">
        <v>9</v>
      </c>
    </row>
    <row r="11" spans="1:6" x14ac:dyDescent="0.3">
      <c r="A11" s="14">
        <v>10</v>
      </c>
      <c r="B11" s="14" t="s">
        <v>366</v>
      </c>
      <c r="C11" s="14">
        <v>25</v>
      </c>
      <c r="D11" s="14" t="str">
        <f>IFERROR(INDEX(Teams!$B$2:$B$49,MATCH($C11,Teams!$A$2:$A$49,0)),"")</f>
        <v>Algeria</v>
      </c>
      <c r="E11" s="14" t="s">
        <v>361</v>
      </c>
      <c r="F11" s="14">
        <v>10</v>
      </c>
    </row>
    <row r="12" spans="1:6" x14ac:dyDescent="0.3">
      <c r="A12" s="14">
        <v>11</v>
      </c>
      <c r="B12" s="14" t="s">
        <v>367</v>
      </c>
      <c r="C12" s="14">
        <v>25</v>
      </c>
      <c r="D12" s="14" t="str">
        <f>IFERROR(INDEX(Teams!$B$2:$B$49,MATCH($C12,Teams!$A$2:$A$49,0)),"")</f>
        <v>Algeria</v>
      </c>
      <c r="E12" s="14" t="s">
        <v>363</v>
      </c>
      <c r="F12" s="14">
        <v>11</v>
      </c>
    </row>
    <row r="13" spans="1:6" x14ac:dyDescent="0.3">
      <c r="A13" s="14">
        <v>12</v>
      </c>
      <c r="B13" s="14" t="s">
        <v>368</v>
      </c>
      <c r="C13" s="14">
        <v>25</v>
      </c>
      <c r="D13" s="14" t="str">
        <f>IFERROR(INDEX(Teams!$B$2:$B$49,MATCH($C13,Teams!$A$2:$A$49,0)),"")</f>
        <v>Algeria</v>
      </c>
      <c r="E13" s="14" t="s">
        <v>363</v>
      </c>
      <c r="F13" s="14">
        <v>12</v>
      </c>
    </row>
    <row r="14" spans="1:6" x14ac:dyDescent="0.3">
      <c r="A14" s="14">
        <v>13</v>
      </c>
      <c r="B14" s="14" t="s">
        <v>369</v>
      </c>
      <c r="C14" s="14">
        <v>25</v>
      </c>
      <c r="D14" s="14" t="str">
        <f>IFERROR(INDEX(Teams!$B$2:$B$49,MATCH($C14,Teams!$A$2:$A$49,0)),"")</f>
        <v>Algeria</v>
      </c>
      <c r="E14" s="14" t="s">
        <v>356</v>
      </c>
      <c r="F14" s="14">
        <v>13</v>
      </c>
    </row>
    <row r="15" spans="1:6" x14ac:dyDescent="0.3">
      <c r="A15" s="14">
        <v>14</v>
      </c>
      <c r="B15" s="14" t="s">
        <v>370</v>
      </c>
      <c r="C15" s="14">
        <v>25</v>
      </c>
      <c r="D15" s="14" t="str">
        <f>IFERROR(INDEX(Teams!$B$2:$B$49,MATCH($C15,Teams!$A$2:$A$49,0)),"")</f>
        <v>Algeria</v>
      </c>
      <c r="E15" s="14" t="s">
        <v>361</v>
      </c>
      <c r="F15" s="14">
        <v>14</v>
      </c>
    </row>
    <row r="16" spans="1:6" x14ac:dyDescent="0.3">
      <c r="A16" s="14">
        <v>15</v>
      </c>
      <c r="B16" s="14" t="s">
        <v>371</v>
      </c>
      <c r="C16" s="14">
        <v>25</v>
      </c>
      <c r="D16" s="14" t="str">
        <f>IFERROR(INDEX(Teams!$B$2:$B$49,MATCH($C16,Teams!$A$2:$A$49,0)),"")</f>
        <v>Algeria</v>
      </c>
      <c r="E16" s="14" t="s">
        <v>356</v>
      </c>
      <c r="F16" s="14">
        <v>15</v>
      </c>
    </row>
    <row r="17" spans="1:6" x14ac:dyDescent="0.3">
      <c r="A17" s="14">
        <v>16</v>
      </c>
      <c r="B17" s="14" t="s">
        <v>372</v>
      </c>
      <c r="C17" s="14">
        <v>25</v>
      </c>
      <c r="D17" s="14" t="str">
        <f>IFERROR(INDEX(Teams!$B$2:$B$49,MATCH($C17,Teams!$A$2:$A$49,0)),"")</f>
        <v>Algeria</v>
      </c>
      <c r="E17" s="14" t="s">
        <v>354</v>
      </c>
      <c r="F17" s="14">
        <v>16</v>
      </c>
    </row>
    <row r="18" spans="1:6" x14ac:dyDescent="0.3">
      <c r="A18" s="14">
        <v>17</v>
      </c>
      <c r="B18" s="14" t="s">
        <v>373</v>
      </c>
      <c r="C18" s="14">
        <v>25</v>
      </c>
      <c r="D18" s="14" t="str">
        <f>IFERROR(INDEX(Teams!$B$2:$B$49,MATCH($C18,Teams!$A$2:$A$49,0)),"")</f>
        <v>Algeria</v>
      </c>
      <c r="E18" s="14" t="s">
        <v>356</v>
      </c>
      <c r="F18" s="14">
        <v>17</v>
      </c>
    </row>
    <row r="19" spans="1:6" x14ac:dyDescent="0.3">
      <c r="A19" s="14">
        <v>18</v>
      </c>
      <c r="B19" s="14" t="s">
        <v>374</v>
      </c>
      <c r="C19" s="14">
        <v>25</v>
      </c>
      <c r="D19" s="14" t="str">
        <f>IFERROR(INDEX(Teams!$B$2:$B$49,MATCH($C19,Teams!$A$2:$A$49,0)),"")</f>
        <v>Algeria</v>
      </c>
      <c r="E19" s="14" t="s">
        <v>363</v>
      </c>
      <c r="F19" s="14">
        <v>18</v>
      </c>
    </row>
    <row r="20" spans="1:6" x14ac:dyDescent="0.3">
      <c r="A20" s="14">
        <v>19</v>
      </c>
      <c r="B20" s="14" t="s">
        <v>375</v>
      </c>
      <c r="C20" s="14">
        <v>25</v>
      </c>
      <c r="D20" s="14" t="str">
        <f>IFERROR(INDEX(Teams!$B$2:$B$49,MATCH($C20,Teams!$A$2:$A$49,0)),"")</f>
        <v>Algeria</v>
      </c>
      <c r="E20" s="14" t="s">
        <v>361</v>
      </c>
      <c r="F20" s="14">
        <v>19</v>
      </c>
    </row>
    <row r="21" spans="1:6" x14ac:dyDescent="0.3">
      <c r="A21" s="14">
        <v>20</v>
      </c>
      <c r="B21" s="14" t="s">
        <v>376</v>
      </c>
      <c r="C21" s="14">
        <v>25</v>
      </c>
      <c r="D21" s="14" t="str">
        <f>IFERROR(INDEX(Teams!$B$2:$B$49,MATCH($C21,Teams!$A$2:$A$49,0)),"")</f>
        <v>Algeria</v>
      </c>
      <c r="E21" s="14" t="s">
        <v>363</v>
      </c>
      <c r="F21" s="14">
        <v>20</v>
      </c>
    </row>
    <row r="22" spans="1:6" x14ac:dyDescent="0.3">
      <c r="A22" s="14">
        <v>21</v>
      </c>
      <c r="B22" s="14" t="s">
        <v>377</v>
      </c>
      <c r="C22" s="14">
        <v>25</v>
      </c>
      <c r="D22" s="14" t="str">
        <f>IFERROR(INDEX(Teams!$B$2:$B$49,MATCH($C22,Teams!$A$2:$A$49,0)),"")</f>
        <v>Algeria</v>
      </c>
      <c r="E22" s="14" t="s">
        <v>356</v>
      </c>
      <c r="F22" s="14">
        <v>21</v>
      </c>
    </row>
    <row r="23" spans="1:6" x14ac:dyDescent="0.3">
      <c r="A23" s="14">
        <v>22</v>
      </c>
      <c r="B23" s="14" t="s">
        <v>378</v>
      </c>
      <c r="C23" s="14">
        <v>25</v>
      </c>
      <c r="D23" s="14" t="str">
        <f>IFERROR(INDEX(Teams!$B$2:$B$49,MATCH($C23,Teams!$A$2:$A$49,0)),"")</f>
        <v>Algeria</v>
      </c>
      <c r="E23" s="14" t="s">
        <v>361</v>
      </c>
      <c r="F23" s="14">
        <v>22</v>
      </c>
    </row>
    <row r="24" spans="1:6" x14ac:dyDescent="0.3">
      <c r="A24" s="14">
        <v>23</v>
      </c>
      <c r="B24" s="14" t="s">
        <v>379</v>
      </c>
      <c r="C24" s="14">
        <v>25</v>
      </c>
      <c r="D24" s="14" t="str">
        <f>IFERROR(INDEX(Teams!$B$2:$B$49,MATCH($C24,Teams!$A$2:$A$49,0)),"")</f>
        <v>Algeria</v>
      </c>
      <c r="E24" s="14" t="s">
        <v>354</v>
      </c>
      <c r="F24" s="14">
        <v>23</v>
      </c>
    </row>
    <row r="25" spans="1:6" x14ac:dyDescent="0.3">
      <c r="A25" s="14">
        <v>24</v>
      </c>
      <c r="B25" s="14" t="s">
        <v>380</v>
      </c>
      <c r="C25" s="14">
        <v>25</v>
      </c>
      <c r="D25" s="14" t="str">
        <f>IFERROR(INDEX(Teams!$B$2:$B$49,MATCH($C25,Teams!$A$2:$A$49,0)),"")</f>
        <v>Algeria</v>
      </c>
      <c r="E25" s="14" t="s">
        <v>361</v>
      </c>
      <c r="F25" s="14">
        <v>24</v>
      </c>
    </row>
    <row r="26" spans="1:6" x14ac:dyDescent="0.3">
      <c r="A26" s="14">
        <v>25</v>
      </c>
      <c r="B26" s="14" t="s">
        <v>381</v>
      </c>
      <c r="C26" s="14">
        <v>25</v>
      </c>
      <c r="D26" s="14" t="str">
        <f>IFERROR(INDEX(Teams!$B$2:$B$49,MATCH($C26,Teams!$A$2:$A$49,0)),"")</f>
        <v>Algeria</v>
      </c>
      <c r="E26" s="14" t="s">
        <v>363</v>
      </c>
      <c r="F26" s="14">
        <v>25</v>
      </c>
    </row>
    <row r="27" spans="1:6" x14ac:dyDescent="0.3">
      <c r="A27" s="14">
        <v>26</v>
      </c>
      <c r="B27" s="14" t="s">
        <v>382</v>
      </c>
      <c r="C27" s="14">
        <v>25</v>
      </c>
      <c r="D27" s="14" t="str">
        <f>IFERROR(INDEX(Teams!$B$2:$B$49,MATCH($C27,Teams!$A$2:$A$49,0)),"")</f>
        <v>Algeria</v>
      </c>
      <c r="E27" s="14" t="s">
        <v>356</v>
      </c>
      <c r="F27" s="14">
        <v>26</v>
      </c>
    </row>
    <row r="28" spans="1:6" x14ac:dyDescent="0.3">
      <c r="A28" s="14">
        <v>27</v>
      </c>
      <c r="B28" s="14" t="s">
        <v>383</v>
      </c>
      <c r="C28" s="14">
        <v>1</v>
      </c>
      <c r="D28" s="14" t="str">
        <f>IFERROR(INDEX(Teams!$B$2:$B$49,MATCH($C28,Teams!$A$2:$A$49,0)),"")</f>
        <v>Argentina</v>
      </c>
      <c r="E28" s="14" t="s">
        <v>354</v>
      </c>
      <c r="F28" s="14">
        <v>1</v>
      </c>
    </row>
    <row r="29" spans="1:6" x14ac:dyDescent="0.3">
      <c r="A29" s="14">
        <v>28</v>
      </c>
      <c r="B29" s="14" t="s">
        <v>384</v>
      </c>
      <c r="C29" s="14">
        <v>1</v>
      </c>
      <c r="D29" s="14" t="str">
        <f>IFERROR(INDEX(Teams!$B$2:$B$49,MATCH($C29,Teams!$A$2:$A$49,0)),"")</f>
        <v>Argentina</v>
      </c>
      <c r="E29" s="14" t="s">
        <v>356</v>
      </c>
      <c r="F29" s="14">
        <v>2</v>
      </c>
    </row>
    <row r="30" spans="1:6" x14ac:dyDescent="0.3">
      <c r="A30" s="14">
        <v>29</v>
      </c>
      <c r="B30" s="14" t="s">
        <v>385</v>
      </c>
      <c r="C30" s="14">
        <v>1</v>
      </c>
      <c r="D30" s="14" t="str">
        <f>IFERROR(INDEX(Teams!$B$2:$B$49,MATCH($C30,Teams!$A$2:$A$49,0)),"")</f>
        <v>Argentina</v>
      </c>
      <c r="E30" s="14" t="s">
        <v>356</v>
      </c>
      <c r="F30" s="14">
        <v>3</v>
      </c>
    </row>
    <row r="31" spans="1:6" x14ac:dyDescent="0.3">
      <c r="A31" s="14">
        <v>30</v>
      </c>
      <c r="B31" s="14" t="s">
        <v>386</v>
      </c>
      <c r="C31" s="14">
        <v>1</v>
      </c>
      <c r="D31" s="14" t="str">
        <f>IFERROR(INDEX(Teams!$B$2:$B$49,MATCH($C31,Teams!$A$2:$A$49,0)),"")</f>
        <v>Argentina</v>
      </c>
      <c r="E31" s="14" t="s">
        <v>356</v>
      </c>
      <c r="F31" s="14">
        <v>4</v>
      </c>
    </row>
    <row r="32" spans="1:6" x14ac:dyDescent="0.3">
      <c r="A32" s="14">
        <v>31</v>
      </c>
      <c r="B32" s="14" t="s">
        <v>387</v>
      </c>
      <c r="C32" s="14">
        <v>1</v>
      </c>
      <c r="D32" s="14" t="str">
        <f>IFERROR(INDEX(Teams!$B$2:$B$49,MATCH($C32,Teams!$A$2:$A$49,0)),"")</f>
        <v>Argentina</v>
      </c>
      <c r="E32" s="14" t="s">
        <v>361</v>
      </c>
      <c r="F32" s="14">
        <v>5</v>
      </c>
    </row>
    <row r="33" spans="1:6" x14ac:dyDescent="0.3">
      <c r="A33" s="14">
        <v>32</v>
      </c>
      <c r="B33" s="14" t="s">
        <v>388</v>
      </c>
      <c r="C33" s="14">
        <v>1</v>
      </c>
      <c r="D33" s="14" t="str">
        <f>IFERROR(INDEX(Teams!$B$2:$B$49,MATCH($C33,Teams!$A$2:$A$49,0)),"")</f>
        <v>Argentina</v>
      </c>
      <c r="E33" s="14" t="s">
        <v>356</v>
      </c>
      <c r="F33" s="14">
        <v>6</v>
      </c>
    </row>
    <row r="34" spans="1:6" x14ac:dyDescent="0.3">
      <c r="A34" s="14">
        <v>33</v>
      </c>
      <c r="B34" s="14" t="s">
        <v>389</v>
      </c>
      <c r="C34" s="14">
        <v>1</v>
      </c>
      <c r="D34" s="14" t="str">
        <f>IFERROR(INDEX(Teams!$B$2:$B$49,MATCH($C34,Teams!$A$2:$A$49,0)),"")</f>
        <v>Argentina</v>
      </c>
      <c r="E34" s="14" t="s">
        <v>361</v>
      </c>
      <c r="F34" s="14">
        <v>7</v>
      </c>
    </row>
    <row r="35" spans="1:6" x14ac:dyDescent="0.3">
      <c r="A35" s="14">
        <v>34</v>
      </c>
      <c r="B35" s="14" t="s">
        <v>390</v>
      </c>
      <c r="C35" s="14">
        <v>1</v>
      </c>
      <c r="D35" s="14" t="str">
        <f>IFERROR(INDEX(Teams!$B$2:$B$49,MATCH($C35,Teams!$A$2:$A$49,0)),"")</f>
        <v>Argentina</v>
      </c>
      <c r="E35" s="14" t="s">
        <v>361</v>
      </c>
      <c r="F35" s="14">
        <v>8</v>
      </c>
    </row>
    <row r="36" spans="1:6" x14ac:dyDescent="0.3">
      <c r="A36" s="14">
        <v>35</v>
      </c>
      <c r="B36" s="14" t="s">
        <v>391</v>
      </c>
      <c r="C36" s="14">
        <v>1</v>
      </c>
      <c r="D36" s="14" t="str">
        <f>IFERROR(INDEX(Teams!$B$2:$B$49,MATCH($C36,Teams!$A$2:$A$49,0)),"")</f>
        <v>Argentina</v>
      </c>
      <c r="E36" s="14" t="s">
        <v>363</v>
      </c>
      <c r="F36" s="14">
        <v>9</v>
      </c>
    </row>
    <row r="37" spans="1:6" x14ac:dyDescent="0.3">
      <c r="A37" s="14">
        <v>36</v>
      </c>
      <c r="B37" s="14" t="s">
        <v>392</v>
      </c>
      <c r="C37" s="14">
        <v>1</v>
      </c>
      <c r="D37" s="14" t="str">
        <f>IFERROR(INDEX(Teams!$B$2:$B$49,MATCH($C37,Teams!$A$2:$A$49,0)),"")</f>
        <v>Argentina</v>
      </c>
      <c r="E37" s="14" t="s">
        <v>363</v>
      </c>
      <c r="F37" s="14">
        <v>10</v>
      </c>
    </row>
    <row r="38" spans="1:6" x14ac:dyDescent="0.3">
      <c r="A38" s="14">
        <v>37</v>
      </c>
      <c r="B38" s="14" t="s">
        <v>393</v>
      </c>
      <c r="C38" s="14">
        <v>1</v>
      </c>
      <c r="D38" s="14" t="str">
        <f>IFERROR(INDEX(Teams!$B$2:$B$49,MATCH($C38,Teams!$A$2:$A$49,0)),"")</f>
        <v>Argentina</v>
      </c>
      <c r="E38" s="14" t="s">
        <v>361</v>
      </c>
      <c r="F38" s="14">
        <v>11</v>
      </c>
    </row>
    <row r="39" spans="1:6" x14ac:dyDescent="0.3">
      <c r="A39" s="14">
        <v>38</v>
      </c>
      <c r="B39" s="14" t="s">
        <v>394</v>
      </c>
      <c r="C39" s="14">
        <v>1</v>
      </c>
      <c r="D39" s="14" t="str">
        <f>IFERROR(INDEX(Teams!$B$2:$B$49,MATCH($C39,Teams!$A$2:$A$49,0)),"")</f>
        <v>Argentina</v>
      </c>
      <c r="E39" s="14" t="s">
        <v>354</v>
      </c>
      <c r="F39" s="14">
        <v>12</v>
      </c>
    </row>
    <row r="40" spans="1:6" x14ac:dyDescent="0.3">
      <c r="A40" s="14">
        <v>39</v>
      </c>
      <c r="B40" s="14" t="s">
        <v>395</v>
      </c>
      <c r="C40" s="14">
        <v>1</v>
      </c>
      <c r="D40" s="14" t="str">
        <f>IFERROR(INDEX(Teams!$B$2:$B$49,MATCH($C40,Teams!$A$2:$A$49,0)),"")</f>
        <v>Argentina</v>
      </c>
      <c r="E40" s="14" t="s">
        <v>356</v>
      </c>
      <c r="F40" s="14">
        <v>13</v>
      </c>
    </row>
    <row r="41" spans="1:6" x14ac:dyDescent="0.3">
      <c r="A41" s="14">
        <v>40</v>
      </c>
      <c r="B41" s="14" t="s">
        <v>396</v>
      </c>
      <c r="C41" s="14">
        <v>1</v>
      </c>
      <c r="D41" s="14" t="str">
        <f>IFERROR(INDEX(Teams!$B$2:$B$49,MATCH($C41,Teams!$A$2:$A$49,0)),"")</f>
        <v>Argentina</v>
      </c>
      <c r="E41" s="14" t="s">
        <v>361</v>
      </c>
      <c r="F41" s="14">
        <v>14</v>
      </c>
    </row>
    <row r="42" spans="1:6" x14ac:dyDescent="0.3">
      <c r="A42" s="14">
        <v>41</v>
      </c>
      <c r="B42" s="14" t="s">
        <v>397</v>
      </c>
      <c r="C42" s="14">
        <v>1</v>
      </c>
      <c r="D42" s="14" t="str">
        <f>IFERROR(INDEX(Teams!$B$2:$B$49,MATCH($C42,Teams!$A$2:$A$49,0)),"")</f>
        <v>Argentina</v>
      </c>
      <c r="E42" s="14" t="s">
        <v>361</v>
      </c>
      <c r="F42" s="14">
        <v>15</v>
      </c>
    </row>
    <row r="43" spans="1:6" x14ac:dyDescent="0.3">
      <c r="A43" s="14">
        <v>42</v>
      </c>
      <c r="B43" s="14" t="s">
        <v>398</v>
      </c>
      <c r="C43" s="14">
        <v>1</v>
      </c>
      <c r="D43" s="14" t="str">
        <f>IFERROR(INDEX(Teams!$B$2:$B$49,MATCH($C43,Teams!$A$2:$A$49,0)),"")</f>
        <v>Argentina</v>
      </c>
      <c r="E43" s="14" t="s">
        <v>363</v>
      </c>
      <c r="F43" s="14">
        <v>16</v>
      </c>
    </row>
    <row r="44" spans="1:6" x14ac:dyDescent="0.3">
      <c r="A44" s="14">
        <v>43</v>
      </c>
      <c r="B44" s="14" t="s">
        <v>399</v>
      </c>
      <c r="C44" s="14">
        <v>1</v>
      </c>
      <c r="D44" s="14" t="str">
        <f>IFERROR(INDEX(Teams!$B$2:$B$49,MATCH($C44,Teams!$A$2:$A$49,0)),"")</f>
        <v>Argentina</v>
      </c>
      <c r="E44" s="14" t="s">
        <v>363</v>
      </c>
      <c r="F44" s="14">
        <v>17</v>
      </c>
    </row>
    <row r="45" spans="1:6" x14ac:dyDescent="0.3">
      <c r="A45" s="14">
        <v>44</v>
      </c>
      <c r="B45" s="14" t="s">
        <v>400</v>
      </c>
      <c r="C45" s="14">
        <v>1</v>
      </c>
      <c r="D45" s="14" t="str">
        <f>IFERROR(INDEX(Teams!$B$2:$B$49,MATCH($C45,Teams!$A$2:$A$49,0)),"")</f>
        <v>Argentina</v>
      </c>
      <c r="E45" s="14" t="s">
        <v>363</v>
      </c>
      <c r="F45" s="14">
        <v>18</v>
      </c>
    </row>
    <row r="46" spans="1:6" x14ac:dyDescent="0.3">
      <c r="A46" s="14">
        <v>45</v>
      </c>
      <c r="B46" s="14" t="s">
        <v>401</v>
      </c>
      <c r="C46" s="14">
        <v>1</v>
      </c>
      <c r="D46" s="14" t="str">
        <f>IFERROR(INDEX(Teams!$B$2:$B$49,MATCH($C46,Teams!$A$2:$A$49,0)),"")</f>
        <v>Argentina</v>
      </c>
      <c r="E46" s="14" t="s">
        <v>356</v>
      </c>
      <c r="F46" s="14">
        <v>19</v>
      </c>
    </row>
    <row r="47" spans="1:6" x14ac:dyDescent="0.3">
      <c r="A47" s="14">
        <v>46</v>
      </c>
      <c r="B47" s="14" t="s">
        <v>402</v>
      </c>
      <c r="C47" s="14">
        <v>1</v>
      </c>
      <c r="D47" s="14" t="str">
        <f>IFERROR(INDEX(Teams!$B$2:$B$49,MATCH($C47,Teams!$A$2:$A$49,0)),"")</f>
        <v>Argentina</v>
      </c>
      <c r="E47" s="14" t="s">
        <v>361</v>
      </c>
      <c r="F47" s="14">
        <v>20</v>
      </c>
    </row>
    <row r="48" spans="1:6" x14ac:dyDescent="0.3">
      <c r="A48" s="14">
        <v>47</v>
      </c>
      <c r="B48" s="14" t="s">
        <v>403</v>
      </c>
      <c r="C48" s="14">
        <v>1</v>
      </c>
      <c r="D48" s="14" t="str">
        <f>IFERROR(INDEX(Teams!$B$2:$B$49,MATCH($C48,Teams!$A$2:$A$49,0)),"")</f>
        <v>Argentina</v>
      </c>
      <c r="E48" s="14" t="s">
        <v>363</v>
      </c>
      <c r="F48" s="14">
        <v>21</v>
      </c>
    </row>
    <row r="49" spans="1:6" x14ac:dyDescent="0.3">
      <c r="A49" s="14">
        <v>48</v>
      </c>
      <c r="B49" s="14" t="s">
        <v>404</v>
      </c>
      <c r="C49" s="14">
        <v>1</v>
      </c>
      <c r="D49" s="14" t="str">
        <f>IFERROR(INDEX(Teams!$B$2:$B$49,MATCH($C49,Teams!$A$2:$A$49,0)),"")</f>
        <v>Argentina</v>
      </c>
      <c r="E49" s="14" t="s">
        <v>363</v>
      </c>
      <c r="F49" s="14">
        <v>22</v>
      </c>
    </row>
    <row r="50" spans="1:6" x14ac:dyDescent="0.3">
      <c r="A50" s="14">
        <v>49</v>
      </c>
      <c r="B50" s="14" t="s">
        <v>405</v>
      </c>
      <c r="C50" s="14">
        <v>1</v>
      </c>
      <c r="D50" s="14" t="str">
        <f>IFERROR(INDEX(Teams!$B$2:$B$49,MATCH($C50,Teams!$A$2:$A$49,0)),"")</f>
        <v>Argentina</v>
      </c>
      <c r="E50" s="14" t="s">
        <v>354</v>
      </c>
      <c r="F50" s="14">
        <v>23</v>
      </c>
    </row>
    <row r="51" spans="1:6" x14ac:dyDescent="0.3">
      <c r="A51" s="14">
        <v>50</v>
      </c>
      <c r="B51" s="14" t="s">
        <v>406</v>
      </c>
      <c r="C51" s="14">
        <v>1</v>
      </c>
      <c r="D51" s="14" t="str">
        <f>IFERROR(INDEX(Teams!$B$2:$B$49,MATCH($C51,Teams!$A$2:$A$49,0)),"")</f>
        <v>Argentina</v>
      </c>
      <c r="E51" s="14" t="s">
        <v>361</v>
      </c>
      <c r="F51" s="14">
        <v>24</v>
      </c>
    </row>
    <row r="52" spans="1:6" x14ac:dyDescent="0.3">
      <c r="A52" s="14">
        <v>51</v>
      </c>
      <c r="B52" s="14" t="s">
        <v>407</v>
      </c>
      <c r="C52" s="14">
        <v>1</v>
      </c>
      <c r="D52" s="14" t="str">
        <f>IFERROR(INDEX(Teams!$B$2:$B$49,MATCH($C52,Teams!$A$2:$A$49,0)),"")</f>
        <v>Argentina</v>
      </c>
      <c r="E52" s="14" t="s">
        <v>356</v>
      </c>
      <c r="F52" s="14">
        <v>25</v>
      </c>
    </row>
    <row r="53" spans="1:6" x14ac:dyDescent="0.3">
      <c r="A53" s="14">
        <v>52</v>
      </c>
      <c r="B53" s="14" t="s">
        <v>408</v>
      </c>
      <c r="C53" s="14">
        <v>1</v>
      </c>
      <c r="D53" s="14" t="str">
        <f>IFERROR(INDEX(Teams!$B$2:$B$49,MATCH($C53,Teams!$A$2:$A$49,0)),"")</f>
        <v>Argentina</v>
      </c>
      <c r="E53" s="14" t="s">
        <v>356</v>
      </c>
      <c r="F53" s="14">
        <v>26</v>
      </c>
    </row>
    <row r="54" spans="1:6" x14ac:dyDescent="0.3">
      <c r="A54" s="14">
        <v>53</v>
      </c>
      <c r="B54" s="14" t="s">
        <v>409</v>
      </c>
      <c r="C54" s="14">
        <v>13</v>
      </c>
      <c r="D54" s="14" t="str">
        <f>IFERROR(INDEX(Teams!$B$2:$B$49,MATCH($C54,Teams!$A$2:$A$49,0)),"")</f>
        <v>Australia</v>
      </c>
      <c r="E54" s="14" t="s">
        <v>354</v>
      </c>
      <c r="F54" s="14">
        <v>1</v>
      </c>
    </row>
    <row r="55" spans="1:6" x14ac:dyDescent="0.3">
      <c r="A55" s="14">
        <v>54</v>
      </c>
      <c r="B55" s="14" t="s">
        <v>410</v>
      </c>
      <c r="C55" s="14">
        <v>13</v>
      </c>
      <c r="D55" s="14" t="str">
        <f>IFERROR(INDEX(Teams!$B$2:$B$49,MATCH($C55,Teams!$A$2:$A$49,0)),"")</f>
        <v>Australia</v>
      </c>
      <c r="E55" s="14" t="s">
        <v>356</v>
      </c>
      <c r="F55" s="14">
        <v>2</v>
      </c>
    </row>
    <row r="56" spans="1:6" x14ac:dyDescent="0.3">
      <c r="A56" s="14">
        <v>55</v>
      </c>
      <c r="B56" s="14" t="s">
        <v>411</v>
      </c>
      <c r="C56" s="14">
        <v>13</v>
      </c>
      <c r="D56" s="14" t="str">
        <f>IFERROR(INDEX(Teams!$B$2:$B$49,MATCH($C56,Teams!$A$2:$A$49,0)),"")</f>
        <v>Australia</v>
      </c>
      <c r="E56" s="14" t="s">
        <v>356</v>
      </c>
      <c r="F56" s="14">
        <v>3</v>
      </c>
    </row>
    <row r="57" spans="1:6" x14ac:dyDescent="0.3">
      <c r="A57" s="14">
        <v>56</v>
      </c>
      <c r="B57" s="14" t="s">
        <v>412</v>
      </c>
      <c r="C57" s="14">
        <v>13</v>
      </c>
      <c r="D57" s="14" t="str">
        <f>IFERROR(INDEX(Teams!$B$2:$B$49,MATCH($C57,Teams!$A$2:$A$49,0)),"")</f>
        <v>Australia</v>
      </c>
      <c r="E57" s="14" t="s">
        <v>356</v>
      </c>
      <c r="F57" s="14">
        <v>4</v>
      </c>
    </row>
    <row r="58" spans="1:6" x14ac:dyDescent="0.3">
      <c r="A58" s="14">
        <v>57</v>
      </c>
      <c r="B58" s="14" t="s">
        <v>413</v>
      </c>
      <c r="C58" s="14">
        <v>13</v>
      </c>
      <c r="D58" s="14" t="str">
        <f>IFERROR(INDEX(Teams!$B$2:$B$49,MATCH($C58,Teams!$A$2:$A$49,0)),"")</f>
        <v>Australia</v>
      </c>
      <c r="E58" s="14" t="s">
        <v>356</v>
      </c>
      <c r="F58" s="14">
        <v>5</v>
      </c>
    </row>
    <row r="59" spans="1:6" x14ac:dyDescent="0.3">
      <c r="A59" s="14">
        <v>58</v>
      </c>
      <c r="B59" s="14" t="s">
        <v>414</v>
      </c>
      <c r="C59" s="14">
        <v>13</v>
      </c>
      <c r="D59" s="14" t="str">
        <f>IFERROR(INDEX(Teams!$B$2:$B$49,MATCH($C59,Teams!$A$2:$A$49,0)),"")</f>
        <v>Australia</v>
      </c>
      <c r="E59" s="14" t="s">
        <v>356</v>
      </c>
      <c r="F59" s="14">
        <v>6</v>
      </c>
    </row>
    <row r="60" spans="1:6" x14ac:dyDescent="0.3">
      <c r="A60" s="14">
        <v>59</v>
      </c>
      <c r="B60" s="14" t="s">
        <v>415</v>
      </c>
      <c r="C60" s="14">
        <v>13</v>
      </c>
      <c r="D60" s="14" t="str">
        <f>IFERROR(INDEX(Teams!$B$2:$B$49,MATCH($C60,Teams!$A$2:$A$49,0)),"")</f>
        <v>Australia</v>
      </c>
      <c r="E60" s="14" t="s">
        <v>363</v>
      </c>
      <c r="F60" s="14">
        <v>7</v>
      </c>
    </row>
    <row r="61" spans="1:6" x14ac:dyDescent="0.3">
      <c r="A61" s="14">
        <v>60</v>
      </c>
      <c r="B61" s="14" t="s">
        <v>416</v>
      </c>
      <c r="C61" s="14">
        <v>13</v>
      </c>
      <c r="D61" s="14" t="str">
        <f>IFERROR(INDEX(Teams!$B$2:$B$49,MATCH($C61,Teams!$A$2:$A$49,0)),"")</f>
        <v>Australia</v>
      </c>
      <c r="E61" s="14" t="s">
        <v>361</v>
      </c>
      <c r="F61" s="14">
        <v>8</v>
      </c>
    </row>
    <row r="62" spans="1:6" x14ac:dyDescent="0.3">
      <c r="A62" s="14">
        <v>61</v>
      </c>
      <c r="B62" s="14" t="s">
        <v>417</v>
      </c>
      <c r="C62" s="14">
        <v>13</v>
      </c>
      <c r="D62" s="14" t="str">
        <f>IFERROR(INDEX(Teams!$B$2:$B$49,MATCH($C62,Teams!$A$2:$A$49,0)),"")</f>
        <v>Australia</v>
      </c>
      <c r="E62" s="14" t="s">
        <v>363</v>
      </c>
      <c r="F62" s="14">
        <v>9</v>
      </c>
    </row>
    <row r="63" spans="1:6" x14ac:dyDescent="0.3">
      <c r="A63" s="14">
        <v>62</v>
      </c>
      <c r="B63" s="14" t="s">
        <v>418</v>
      </c>
      <c r="C63" s="14">
        <v>13</v>
      </c>
      <c r="D63" s="14" t="str">
        <f>IFERROR(INDEX(Teams!$B$2:$B$49,MATCH($C63,Teams!$A$2:$A$49,0)),"")</f>
        <v>Australia</v>
      </c>
      <c r="E63" s="14" t="s">
        <v>363</v>
      </c>
      <c r="F63" s="14">
        <v>10</v>
      </c>
    </row>
    <row r="64" spans="1:6" x14ac:dyDescent="0.3">
      <c r="A64" s="14">
        <v>63</v>
      </c>
      <c r="B64" s="14" t="s">
        <v>419</v>
      </c>
      <c r="C64" s="14">
        <v>13</v>
      </c>
      <c r="D64" s="14" t="str">
        <f>IFERROR(INDEX(Teams!$B$2:$B$49,MATCH($C64,Teams!$A$2:$A$49,0)),"")</f>
        <v>Australia</v>
      </c>
      <c r="E64" s="14" t="s">
        <v>363</v>
      </c>
      <c r="F64" s="14">
        <v>11</v>
      </c>
    </row>
    <row r="65" spans="1:6" x14ac:dyDescent="0.3">
      <c r="A65" s="14">
        <v>64</v>
      </c>
      <c r="B65" s="14" t="s">
        <v>420</v>
      </c>
      <c r="C65" s="14">
        <v>13</v>
      </c>
      <c r="D65" s="14" t="str">
        <f>IFERROR(INDEX(Teams!$B$2:$B$49,MATCH($C65,Teams!$A$2:$A$49,0)),"")</f>
        <v>Australia</v>
      </c>
      <c r="E65" s="14" t="s">
        <v>354</v>
      </c>
      <c r="F65" s="14">
        <v>12</v>
      </c>
    </row>
    <row r="66" spans="1:6" x14ac:dyDescent="0.3">
      <c r="A66" s="14">
        <v>65</v>
      </c>
      <c r="B66" s="14" t="s">
        <v>421</v>
      </c>
      <c r="C66" s="14">
        <v>13</v>
      </c>
      <c r="D66" s="14" t="str">
        <f>IFERROR(INDEX(Teams!$B$2:$B$49,MATCH($C66,Teams!$A$2:$A$49,0)),"")</f>
        <v>Australia</v>
      </c>
      <c r="E66" s="14" t="s">
        <v>361</v>
      </c>
      <c r="F66" s="14">
        <v>13</v>
      </c>
    </row>
    <row r="67" spans="1:6" x14ac:dyDescent="0.3">
      <c r="A67" s="14">
        <v>66</v>
      </c>
      <c r="B67" s="14" t="s">
        <v>422</v>
      </c>
      <c r="C67" s="14">
        <v>13</v>
      </c>
      <c r="D67" s="14" t="str">
        <f>IFERROR(INDEX(Teams!$B$2:$B$49,MATCH($C67,Teams!$A$2:$A$49,0)),"")</f>
        <v>Australia</v>
      </c>
      <c r="E67" s="14" t="s">
        <v>361</v>
      </c>
      <c r="F67" s="14">
        <v>14</v>
      </c>
    </row>
    <row r="68" spans="1:6" x14ac:dyDescent="0.3">
      <c r="A68" s="14">
        <v>67</v>
      </c>
      <c r="B68" s="14" t="s">
        <v>423</v>
      </c>
      <c r="C68" s="14">
        <v>13</v>
      </c>
      <c r="D68" s="14" t="str">
        <f>IFERROR(INDEX(Teams!$B$2:$B$49,MATCH($C68,Teams!$A$2:$A$49,0)),"")</f>
        <v>Australia</v>
      </c>
      <c r="E68" s="14" t="s">
        <v>356</v>
      </c>
      <c r="F68" s="14">
        <v>15</v>
      </c>
    </row>
    <row r="69" spans="1:6" x14ac:dyDescent="0.3">
      <c r="A69" s="14">
        <v>68</v>
      </c>
      <c r="B69" s="14" t="s">
        <v>424</v>
      </c>
      <c r="C69" s="14">
        <v>13</v>
      </c>
      <c r="D69" s="14" t="str">
        <f>IFERROR(INDEX(Teams!$B$2:$B$49,MATCH($C69,Teams!$A$2:$A$49,0)),"")</f>
        <v>Australia</v>
      </c>
      <c r="E69" s="14" t="s">
        <v>356</v>
      </c>
      <c r="F69" s="14">
        <v>16</v>
      </c>
    </row>
    <row r="70" spans="1:6" x14ac:dyDescent="0.3">
      <c r="A70" s="14">
        <v>69</v>
      </c>
      <c r="B70" s="14" t="s">
        <v>425</v>
      </c>
      <c r="C70" s="14">
        <v>13</v>
      </c>
      <c r="D70" s="14" t="str">
        <f>IFERROR(INDEX(Teams!$B$2:$B$49,MATCH($C70,Teams!$A$2:$A$49,0)),"")</f>
        <v>Australia</v>
      </c>
      <c r="E70" s="14" t="s">
        <v>363</v>
      </c>
      <c r="F70" s="14">
        <v>17</v>
      </c>
    </row>
    <row r="71" spans="1:6" x14ac:dyDescent="0.3">
      <c r="A71" s="14">
        <v>70</v>
      </c>
      <c r="B71" s="14" t="s">
        <v>426</v>
      </c>
      <c r="C71" s="14">
        <v>13</v>
      </c>
      <c r="D71" s="14" t="str">
        <f>IFERROR(INDEX(Teams!$B$2:$B$49,MATCH($C71,Teams!$A$2:$A$49,0)),"")</f>
        <v>Australia</v>
      </c>
      <c r="E71" s="14" t="s">
        <v>354</v>
      </c>
      <c r="F71" s="14">
        <v>18</v>
      </c>
    </row>
    <row r="72" spans="1:6" x14ac:dyDescent="0.3">
      <c r="A72" s="14">
        <v>71</v>
      </c>
      <c r="B72" s="14" t="s">
        <v>427</v>
      </c>
      <c r="C72" s="14">
        <v>13</v>
      </c>
      <c r="D72" s="14" t="str">
        <f>IFERROR(INDEX(Teams!$B$2:$B$49,MATCH($C72,Teams!$A$2:$A$49,0)),"")</f>
        <v>Australia</v>
      </c>
      <c r="E72" s="14" t="s">
        <v>356</v>
      </c>
      <c r="F72" s="14">
        <v>19</v>
      </c>
    </row>
    <row r="73" spans="1:6" x14ac:dyDescent="0.3">
      <c r="A73" s="14">
        <v>72</v>
      </c>
      <c r="B73" s="14" t="s">
        <v>428</v>
      </c>
      <c r="C73" s="14">
        <v>13</v>
      </c>
      <c r="D73" s="14" t="str">
        <f>IFERROR(INDEX(Teams!$B$2:$B$49,MATCH($C73,Teams!$A$2:$A$49,0)),"")</f>
        <v>Australia</v>
      </c>
      <c r="E73" s="14" t="s">
        <v>363</v>
      </c>
      <c r="F73" s="14">
        <v>20</v>
      </c>
    </row>
    <row r="74" spans="1:6" x14ac:dyDescent="0.3">
      <c r="A74" s="14">
        <v>73</v>
      </c>
      <c r="B74" s="14" t="s">
        <v>429</v>
      </c>
      <c r="C74" s="14">
        <v>13</v>
      </c>
      <c r="D74" s="14" t="str">
        <f>IFERROR(INDEX(Teams!$B$2:$B$49,MATCH($C74,Teams!$A$2:$A$49,0)),"")</f>
        <v>Australia</v>
      </c>
      <c r="E74" s="14" t="s">
        <v>356</v>
      </c>
      <c r="F74" s="14">
        <v>21</v>
      </c>
    </row>
    <row r="75" spans="1:6" x14ac:dyDescent="0.3">
      <c r="A75" s="14">
        <v>74</v>
      </c>
      <c r="B75" s="14" t="s">
        <v>430</v>
      </c>
      <c r="C75" s="14">
        <v>13</v>
      </c>
      <c r="D75" s="14" t="str">
        <f>IFERROR(INDEX(Teams!$B$2:$B$49,MATCH($C75,Teams!$A$2:$A$49,0)),"")</f>
        <v>Australia</v>
      </c>
      <c r="E75" s="14" t="s">
        <v>361</v>
      </c>
      <c r="F75" s="14">
        <v>22</v>
      </c>
    </row>
    <row r="76" spans="1:6" x14ac:dyDescent="0.3">
      <c r="A76" s="14">
        <v>75</v>
      </c>
      <c r="B76" s="14" t="s">
        <v>431</v>
      </c>
      <c r="C76" s="14">
        <v>13</v>
      </c>
      <c r="D76" s="14" t="str">
        <f>IFERROR(INDEX(Teams!$B$2:$B$49,MATCH($C76,Teams!$A$2:$A$49,0)),"")</f>
        <v>Australia</v>
      </c>
      <c r="E76" s="14" t="s">
        <v>363</v>
      </c>
      <c r="F76" s="14">
        <v>23</v>
      </c>
    </row>
    <row r="77" spans="1:6" x14ac:dyDescent="0.3">
      <c r="A77" s="14">
        <v>76</v>
      </c>
      <c r="B77" s="14" t="s">
        <v>432</v>
      </c>
      <c r="C77" s="14">
        <v>13</v>
      </c>
      <c r="D77" s="14" t="str">
        <f>IFERROR(INDEX(Teams!$B$2:$B$49,MATCH($C77,Teams!$A$2:$A$49,0)),"")</f>
        <v>Australia</v>
      </c>
      <c r="E77" s="14" t="s">
        <v>361</v>
      </c>
      <c r="F77" s="14">
        <v>24</v>
      </c>
    </row>
    <row r="78" spans="1:6" x14ac:dyDescent="0.3">
      <c r="A78" s="14">
        <v>77</v>
      </c>
      <c r="B78" s="14" t="s">
        <v>433</v>
      </c>
      <c r="C78" s="14">
        <v>13</v>
      </c>
      <c r="D78" s="14" t="str">
        <f>IFERROR(INDEX(Teams!$B$2:$B$49,MATCH($C78,Teams!$A$2:$A$49,0)),"")</f>
        <v>Australia</v>
      </c>
      <c r="E78" s="14" t="s">
        <v>356</v>
      </c>
      <c r="F78" s="14">
        <v>25</v>
      </c>
    </row>
    <row r="79" spans="1:6" x14ac:dyDescent="0.3">
      <c r="A79" s="14">
        <v>78</v>
      </c>
      <c r="B79" s="14" t="s">
        <v>434</v>
      </c>
      <c r="C79" s="14">
        <v>13</v>
      </c>
      <c r="D79" s="14" t="str">
        <f>IFERROR(INDEX(Teams!$B$2:$B$49,MATCH($C79,Teams!$A$2:$A$49,0)),"")</f>
        <v>Australia</v>
      </c>
      <c r="E79" s="14" t="s">
        <v>363</v>
      </c>
      <c r="F79" s="14">
        <v>26</v>
      </c>
    </row>
    <row r="80" spans="1:6" x14ac:dyDescent="0.3">
      <c r="A80" s="14">
        <v>79</v>
      </c>
      <c r="B80" s="14" t="s">
        <v>435</v>
      </c>
      <c r="C80" s="14">
        <v>14</v>
      </c>
      <c r="D80" s="14" t="str">
        <f>IFERROR(INDEX(Teams!$B$2:$B$49,MATCH($C80,Teams!$A$2:$A$49,0)),"")</f>
        <v>Austria</v>
      </c>
      <c r="E80" s="14" t="s">
        <v>354</v>
      </c>
      <c r="F80" s="14">
        <v>1</v>
      </c>
    </row>
    <row r="81" spans="1:6" x14ac:dyDescent="0.3">
      <c r="A81" s="14">
        <v>80</v>
      </c>
      <c r="B81" s="14" t="s">
        <v>436</v>
      </c>
      <c r="C81" s="14">
        <v>14</v>
      </c>
      <c r="D81" s="14" t="str">
        <f>IFERROR(INDEX(Teams!$B$2:$B$49,MATCH($C81,Teams!$A$2:$A$49,0)),"")</f>
        <v>Austria</v>
      </c>
      <c r="E81" s="14" t="s">
        <v>356</v>
      </c>
      <c r="F81" s="14">
        <v>2</v>
      </c>
    </row>
    <row r="82" spans="1:6" x14ac:dyDescent="0.3">
      <c r="A82" s="14">
        <v>81</v>
      </c>
      <c r="B82" s="14" t="s">
        <v>437</v>
      </c>
      <c r="C82" s="14">
        <v>14</v>
      </c>
      <c r="D82" s="14" t="str">
        <f>IFERROR(INDEX(Teams!$B$2:$B$49,MATCH($C82,Teams!$A$2:$A$49,0)),"")</f>
        <v>Austria</v>
      </c>
      <c r="E82" s="14" t="s">
        <v>356</v>
      </c>
      <c r="F82" s="14">
        <v>3</v>
      </c>
    </row>
    <row r="83" spans="1:6" x14ac:dyDescent="0.3">
      <c r="A83" s="14">
        <v>82</v>
      </c>
      <c r="B83" s="14" t="s">
        <v>438</v>
      </c>
      <c r="C83" s="14">
        <v>14</v>
      </c>
      <c r="D83" s="14" t="str">
        <f>IFERROR(INDEX(Teams!$B$2:$B$49,MATCH($C83,Teams!$A$2:$A$49,0)),"")</f>
        <v>Austria</v>
      </c>
      <c r="E83" s="14" t="s">
        <v>361</v>
      </c>
      <c r="F83" s="14">
        <v>4</v>
      </c>
    </row>
    <row r="84" spans="1:6" x14ac:dyDescent="0.3">
      <c r="A84" s="14">
        <v>83</v>
      </c>
      <c r="B84" s="14" t="s">
        <v>439</v>
      </c>
      <c r="C84" s="14">
        <v>14</v>
      </c>
      <c r="D84" s="14" t="str">
        <f>IFERROR(INDEX(Teams!$B$2:$B$49,MATCH($C84,Teams!$A$2:$A$49,0)),"")</f>
        <v>Austria</v>
      </c>
      <c r="E84" s="14" t="s">
        <v>356</v>
      </c>
      <c r="F84" s="14">
        <v>5</v>
      </c>
    </row>
    <row r="85" spans="1:6" x14ac:dyDescent="0.3">
      <c r="A85" s="14">
        <v>84</v>
      </c>
      <c r="B85" s="14" t="s">
        <v>440</v>
      </c>
      <c r="C85" s="14">
        <v>14</v>
      </c>
      <c r="D85" s="14" t="str">
        <f>IFERROR(INDEX(Teams!$B$2:$B$49,MATCH($C85,Teams!$A$2:$A$49,0)),"")</f>
        <v>Austria</v>
      </c>
      <c r="E85" s="14" t="s">
        <v>361</v>
      </c>
      <c r="F85" s="14">
        <v>6</v>
      </c>
    </row>
    <row r="86" spans="1:6" x14ac:dyDescent="0.3">
      <c r="A86" s="14">
        <v>85</v>
      </c>
      <c r="B86" s="14" t="s">
        <v>441</v>
      </c>
      <c r="C86" s="14">
        <v>14</v>
      </c>
      <c r="D86" s="14" t="str">
        <f>IFERROR(INDEX(Teams!$B$2:$B$49,MATCH($C86,Teams!$A$2:$A$49,0)),"")</f>
        <v>Austria</v>
      </c>
      <c r="E86" s="14" t="s">
        <v>363</v>
      </c>
      <c r="F86" s="14">
        <v>7</v>
      </c>
    </row>
    <row r="87" spans="1:6" x14ac:dyDescent="0.3">
      <c r="A87" s="14">
        <v>86</v>
      </c>
      <c r="B87" s="14" t="s">
        <v>442</v>
      </c>
      <c r="C87" s="14">
        <v>14</v>
      </c>
      <c r="D87" s="14" t="str">
        <f>IFERROR(INDEX(Teams!$B$2:$B$49,MATCH($C87,Teams!$A$2:$A$49,0)),"")</f>
        <v>Austria</v>
      </c>
      <c r="E87" s="14" t="s">
        <v>356</v>
      </c>
      <c r="F87" s="14">
        <v>8</v>
      </c>
    </row>
    <row r="88" spans="1:6" x14ac:dyDescent="0.3">
      <c r="A88" s="14">
        <v>87</v>
      </c>
      <c r="B88" s="14" t="s">
        <v>443</v>
      </c>
      <c r="C88" s="14">
        <v>14</v>
      </c>
      <c r="D88" s="14" t="str">
        <f>IFERROR(INDEX(Teams!$B$2:$B$49,MATCH($C88,Teams!$A$2:$A$49,0)),"")</f>
        <v>Austria</v>
      </c>
      <c r="E88" s="14" t="s">
        <v>361</v>
      </c>
      <c r="F88" s="14">
        <v>9</v>
      </c>
    </row>
    <row r="89" spans="1:6" x14ac:dyDescent="0.3">
      <c r="A89" s="14">
        <v>88</v>
      </c>
      <c r="B89" s="14" t="s">
        <v>444</v>
      </c>
      <c r="C89" s="14">
        <v>14</v>
      </c>
      <c r="D89" s="14" t="str">
        <f>IFERROR(INDEX(Teams!$B$2:$B$49,MATCH($C89,Teams!$A$2:$A$49,0)),"")</f>
        <v>Austria</v>
      </c>
      <c r="E89" s="14" t="s">
        <v>361</v>
      </c>
      <c r="F89" s="14">
        <v>10</v>
      </c>
    </row>
    <row r="90" spans="1:6" x14ac:dyDescent="0.3">
      <c r="A90" s="14">
        <v>89</v>
      </c>
      <c r="B90" s="14" t="s">
        <v>445</v>
      </c>
      <c r="C90" s="14">
        <v>14</v>
      </c>
      <c r="D90" s="14" t="str">
        <f>IFERROR(INDEX(Teams!$B$2:$B$49,MATCH($C90,Teams!$A$2:$A$49,0)),"")</f>
        <v>Austria</v>
      </c>
      <c r="E90" s="14" t="s">
        <v>363</v>
      </c>
      <c r="F90" s="14">
        <v>11</v>
      </c>
    </row>
    <row r="91" spans="1:6" x14ac:dyDescent="0.3">
      <c r="A91" s="14">
        <v>90</v>
      </c>
      <c r="B91" s="14" t="s">
        <v>446</v>
      </c>
      <c r="C91" s="14">
        <v>14</v>
      </c>
      <c r="D91" s="14" t="str">
        <f>IFERROR(INDEX(Teams!$B$2:$B$49,MATCH($C91,Teams!$A$2:$A$49,0)),"")</f>
        <v>Austria</v>
      </c>
      <c r="E91" s="14" t="s">
        <v>354</v>
      </c>
      <c r="F91" s="14">
        <v>12</v>
      </c>
    </row>
    <row r="92" spans="1:6" x14ac:dyDescent="0.3">
      <c r="A92" s="14">
        <v>91</v>
      </c>
      <c r="B92" s="14" t="s">
        <v>447</v>
      </c>
      <c r="C92" s="14">
        <v>14</v>
      </c>
      <c r="D92" s="14" t="str">
        <f>IFERROR(INDEX(Teams!$B$2:$B$49,MATCH($C92,Teams!$A$2:$A$49,0)),"")</f>
        <v>Austria</v>
      </c>
      <c r="E92" s="14" t="s">
        <v>354</v>
      </c>
      <c r="F92" s="14">
        <v>13</v>
      </c>
    </row>
    <row r="93" spans="1:6" x14ac:dyDescent="0.3">
      <c r="A93" s="14">
        <v>92</v>
      </c>
      <c r="B93" s="14" t="s">
        <v>448</v>
      </c>
      <c r="C93" s="14">
        <v>14</v>
      </c>
      <c r="D93" s="14" t="str">
        <f>IFERROR(INDEX(Teams!$B$2:$B$49,MATCH($C93,Teams!$A$2:$A$49,0)),"")</f>
        <v>Austria</v>
      </c>
      <c r="E93" s="14" t="s">
        <v>363</v>
      </c>
      <c r="F93" s="14">
        <v>14</v>
      </c>
    </row>
    <row r="94" spans="1:6" x14ac:dyDescent="0.3">
      <c r="A94" s="14">
        <v>93</v>
      </c>
      <c r="B94" s="14" t="s">
        <v>449</v>
      </c>
      <c r="C94" s="14">
        <v>14</v>
      </c>
      <c r="D94" s="14" t="str">
        <f>IFERROR(INDEX(Teams!$B$2:$B$49,MATCH($C94,Teams!$A$2:$A$49,0)),"")</f>
        <v>Austria</v>
      </c>
      <c r="E94" s="14" t="s">
        <v>356</v>
      </c>
      <c r="F94" s="14">
        <v>15</v>
      </c>
    </row>
    <row r="95" spans="1:6" x14ac:dyDescent="0.3">
      <c r="A95" s="14">
        <v>94</v>
      </c>
      <c r="B95" s="14" t="s">
        <v>450</v>
      </c>
      <c r="C95" s="14">
        <v>14</v>
      </c>
      <c r="D95" s="14" t="str">
        <f>IFERROR(INDEX(Teams!$B$2:$B$49,MATCH($C95,Teams!$A$2:$A$49,0)),"")</f>
        <v>Austria</v>
      </c>
      <c r="E95" s="14" t="s">
        <v>356</v>
      </c>
      <c r="F95" s="14">
        <v>16</v>
      </c>
    </row>
    <row r="96" spans="1:6" x14ac:dyDescent="0.3">
      <c r="A96" s="14">
        <v>95</v>
      </c>
      <c r="B96" s="14" t="s">
        <v>451</v>
      </c>
      <c r="C96" s="14">
        <v>14</v>
      </c>
      <c r="D96" s="14" t="str">
        <f>IFERROR(INDEX(Teams!$B$2:$B$49,MATCH($C96,Teams!$A$2:$A$49,0)),"")</f>
        <v>Austria</v>
      </c>
      <c r="E96" s="14" t="s">
        <v>361</v>
      </c>
      <c r="F96" s="14">
        <v>17</v>
      </c>
    </row>
    <row r="97" spans="1:6" x14ac:dyDescent="0.3">
      <c r="A97" s="14">
        <v>96</v>
      </c>
      <c r="B97" s="14" t="s">
        <v>452</v>
      </c>
      <c r="C97" s="14">
        <v>14</v>
      </c>
      <c r="D97" s="14" t="str">
        <f>IFERROR(INDEX(Teams!$B$2:$B$49,MATCH($C97,Teams!$A$2:$A$49,0)),"")</f>
        <v>Austria</v>
      </c>
      <c r="E97" s="14" t="s">
        <v>361</v>
      </c>
      <c r="F97" s="14">
        <v>18</v>
      </c>
    </row>
    <row r="98" spans="1:6" x14ac:dyDescent="0.3">
      <c r="A98" s="14">
        <v>97</v>
      </c>
      <c r="B98" s="14" t="s">
        <v>453</v>
      </c>
      <c r="C98" s="14">
        <v>14</v>
      </c>
      <c r="D98" s="14" t="str">
        <f>IFERROR(INDEX(Teams!$B$2:$B$49,MATCH($C98,Teams!$A$2:$A$49,0)),"")</f>
        <v>Austria</v>
      </c>
      <c r="E98" s="14" t="s">
        <v>361</v>
      </c>
      <c r="F98" s="14">
        <v>19</v>
      </c>
    </row>
    <row r="99" spans="1:6" x14ac:dyDescent="0.3">
      <c r="A99" s="14">
        <v>98</v>
      </c>
      <c r="B99" s="14" t="s">
        <v>454</v>
      </c>
      <c r="C99" s="14">
        <v>14</v>
      </c>
      <c r="D99" s="14" t="str">
        <f>IFERROR(INDEX(Teams!$B$2:$B$49,MATCH($C99,Teams!$A$2:$A$49,0)),"")</f>
        <v>Austria</v>
      </c>
      <c r="E99" s="14" t="s">
        <v>361</v>
      </c>
      <c r="F99" s="14">
        <v>20</v>
      </c>
    </row>
    <row r="100" spans="1:6" x14ac:dyDescent="0.3">
      <c r="A100" s="14">
        <v>99</v>
      </c>
      <c r="B100" s="14" t="s">
        <v>455</v>
      </c>
      <c r="C100" s="14">
        <v>14</v>
      </c>
      <c r="D100" s="14" t="str">
        <f>IFERROR(INDEX(Teams!$B$2:$B$49,MATCH($C100,Teams!$A$2:$A$49,0)),"")</f>
        <v>Austria</v>
      </c>
      <c r="E100" s="14" t="s">
        <v>363</v>
      </c>
      <c r="F100" s="14">
        <v>21</v>
      </c>
    </row>
    <row r="101" spans="1:6" x14ac:dyDescent="0.3">
      <c r="A101" s="14">
        <v>100</v>
      </c>
      <c r="B101" s="14" t="s">
        <v>456</v>
      </c>
      <c r="C101" s="14">
        <v>14</v>
      </c>
      <c r="D101" s="14" t="str">
        <f>IFERROR(INDEX(Teams!$B$2:$B$49,MATCH($C101,Teams!$A$2:$A$49,0)),"")</f>
        <v>Austria</v>
      </c>
      <c r="E101" s="14" t="s">
        <v>361</v>
      </c>
      <c r="F101" s="14">
        <v>22</v>
      </c>
    </row>
    <row r="102" spans="1:6" x14ac:dyDescent="0.3">
      <c r="A102" s="14">
        <v>101</v>
      </c>
      <c r="B102" s="14" t="s">
        <v>457</v>
      </c>
      <c r="C102" s="14">
        <v>14</v>
      </c>
      <c r="D102" s="14" t="str">
        <f>IFERROR(INDEX(Teams!$B$2:$B$49,MATCH($C102,Teams!$A$2:$A$49,0)),"")</f>
        <v>Austria</v>
      </c>
      <c r="E102" s="14" t="s">
        <v>356</v>
      </c>
      <c r="F102" s="14">
        <v>23</v>
      </c>
    </row>
    <row r="103" spans="1:6" x14ac:dyDescent="0.3">
      <c r="A103" s="14">
        <v>102</v>
      </c>
      <c r="B103" s="14" t="s">
        <v>458</v>
      </c>
      <c r="C103" s="14">
        <v>14</v>
      </c>
      <c r="D103" s="14" t="str">
        <f>IFERROR(INDEX(Teams!$B$2:$B$49,MATCH($C103,Teams!$A$2:$A$49,0)),"")</f>
        <v>Austria</v>
      </c>
      <c r="E103" s="14" t="s">
        <v>361</v>
      </c>
      <c r="F103" s="14">
        <v>24</v>
      </c>
    </row>
    <row r="104" spans="1:6" x14ac:dyDescent="0.3">
      <c r="A104" s="14">
        <v>103</v>
      </c>
      <c r="B104" s="14" t="s">
        <v>459</v>
      </c>
      <c r="C104" s="14">
        <v>14</v>
      </c>
      <c r="D104" s="14" t="str">
        <f>IFERROR(INDEX(Teams!$B$2:$B$49,MATCH($C104,Teams!$A$2:$A$49,0)),"")</f>
        <v>Austria</v>
      </c>
      <c r="E104" s="14" t="s">
        <v>356</v>
      </c>
      <c r="F104" s="14">
        <v>25</v>
      </c>
    </row>
    <row r="105" spans="1:6" x14ac:dyDescent="0.3">
      <c r="A105" s="14">
        <v>104</v>
      </c>
      <c r="B105" s="14" t="s">
        <v>460</v>
      </c>
      <c r="C105" s="14">
        <v>14</v>
      </c>
      <c r="D105" s="14" t="str">
        <f>IFERROR(INDEX(Teams!$B$2:$B$49,MATCH($C105,Teams!$A$2:$A$49,0)),"")</f>
        <v>Austria</v>
      </c>
      <c r="E105" s="14" t="s">
        <v>361</v>
      </c>
      <c r="F105" s="14">
        <v>26</v>
      </c>
    </row>
    <row r="106" spans="1:6" x14ac:dyDescent="0.3">
      <c r="A106" s="14">
        <v>105</v>
      </c>
      <c r="B106" s="14" t="s">
        <v>461</v>
      </c>
      <c r="C106" s="14">
        <v>2</v>
      </c>
      <c r="D106" s="14" t="str">
        <f>IFERROR(INDEX(Teams!$B$2:$B$49,MATCH($C106,Teams!$A$2:$A$49,0)),"")</f>
        <v>Belgium</v>
      </c>
      <c r="E106" s="14" t="s">
        <v>354</v>
      </c>
      <c r="F106" s="14">
        <v>1</v>
      </c>
    </row>
    <row r="107" spans="1:6" x14ac:dyDescent="0.3">
      <c r="A107" s="14">
        <v>106</v>
      </c>
      <c r="B107" s="14" t="s">
        <v>462</v>
      </c>
      <c r="C107" s="14">
        <v>2</v>
      </c>
      <c r="D107" s="14" t="str">
        <f>IFERROR(INDEX(Teams!$B$2:$B$49,MATCH($C107,Teams!$A$2:$A$49,0)),"")</f>
        <v>Belgium</v>
      </c>
      <c r="E107" s="14" t="s">
        <v>356</v>
      </c>
      <c r="F107" s="14">
        <v>2</v>
      </c>
    </row>
    <row r="108" spans="1:6" x14ac:dyDescent="0.3">
      <c r="A108" s="14">
        <v>107</v>
      </c>
      <c r="B108" s="14" t="s">
        <v>463</v>
      </c>
      <c r="C108" s="14">
        <v>2</v>
      </c>
      <c r="D108" s="14" t="str">
        <f>IFERROR(INDEX(Teams!$B$2:$B$49,MATCH($C108,Teams!$A$2:$A$49,0)),"")</f>
        <v>Belgium</v>
      </c>
      <c r="E108" s="14" t="s">
        <v>356</v>
      </c>
      <c r="F108" s="14">
        <v>3</v>
      </c>
    </row>
    <row r="109" spans="1:6" x14ac:dyDescent="0.3">
      <c r="A109" s="14">
        <v>108</v>
      </c>
      <c r="B109" s="14" t="s">
        <v>464</v>
      </c>
      <c r="C109" s="14">
        <v>2</v>
      </c>
      <c r="D109" s="14" t="str">
        <f>IFERROR(INDEX(Teams!$B$2:$B$49,MATCH($C109,Teams!$A$2:$A$49,0)),"")</f>
        <v>Belgium</v>
      </c>
      <c r="E109" s="14" t="s">
        <v>356</v>
      </c>
      <c r="F109" s="14">
        <v>4</v>
      </c>
    </row>
    <row r="110" spans="1:6" x14ac:dyDescent="0.3">
      <c r="A110" s="14">
        <v>109</v>
      </c>
      <c r="B110" s="14" t="s">
        <v>465</v>
      </c>
      <c r="C110" s="14">
        <v>2</v>
      </c>
      <c r="D110" s="14" t="str">
        <f>IFERROR(INDEX(Teams!$B$2:$B$49,MATCH($C110,Teams!$A$2:$A$49,0)),"")</f>
        <v>Belgium</v>
      </c>
      <c r="E110" s="14" t="s">
        <v>356</v>
      </c>
      <c r="F110" s="14">
        <v>5</v>
      </c>
    </row>
    <row r="111" spans="1:6" x14ac:dyDescent="0.3">
      <c r="A111" s="14">
        <v>110</v>
      </c>
      <c r="B111" s="14" t="s">
        <v>466</v>
      </c>
      <c r="C111" s="14">
        <v>2</v>
      </c>
      <c r="D111" s="14" t="str">
        <f>IFERROR(INDEX(Teams!$B$2:$B$49,MATCH($C111,Teams!$A$2:$A$49,0)),"")</f>
        <v>Belgium</v>
      </c>
      <c r="E111" s="14" t="s">
        <v>361</v>
      </c>
      <c r="F111" s="14">
        <v>6</v>
      </c>
    </row>
    <row r="112" spans="1:6" x14ac:dyDescent="0.3">
      <c r="A112" s="14">
        <v>111</v>
      </c>
      <c r="B112" s="14" t="s">
        <v>467</v>
      </c>
      <c r="C112" s="14">
        <v>2</v>
      </c>
      <c r="D112" s="14" t="str">
        <f>IFERROR(INDEX(Teams!$B$2:$B$49,MATCH($C112,Teams!$A$2:$A$49,0)),"")</f>
        <v>Belgium</v>
      </c>
      <c r="E112" s="14" t="s">
        <v>361</v>
      </c>
      <c r="F112" s="14">
        <v>7</v>
      </c>
    </row>
    <row r="113" spans="1:6" x14ac:dyDescent="0.3">
      <c r="A113" s="14">
        <v>112</v>
      </c>
      <c r="B113" s="14" t="s">
        <v>468</v>
      </c>
      <c r="C113" s="14">
        <v>2</v>
      </c>
      <c r="D113" s="14" t="str">
        <f>IFERROR(INDEX(Teams!$B$2:$B$49,MATCH($C113,Teams!$A$2:$A$49,0)),"")</f>
        <v>Belgium</v>
      </c>
      <c r="E113" s="14" t="s">
        <v>361</v>
      </c>
      <c r="F113" s="14">
        <v>8</v>
      </c>
    </row>
    <row r="114" spans="1:6" x14ac:dyDescent="0.3">
      <c r="A114" s="14">
        <v>113</v>
      </c>
      <c r="B114" s="14" t="s">
        <v>469</v>
      </c>
      <c r="C114" s="14">
        <v>2</v>
      </c>
      <c r="D114" s="14" t="str">
        <f>IFERROR(INDEX(Teams!$B$2:$B$49,MATCH($C114,Teams!$A$2:$A$49,0)),"")</f>
        <v>Belgium</v>
      </c>
      <c r="E114" s="14" t="s">
        <v>363</v>
      </c>
      <c r="F114" s="14">
        <v>9</v>
      </c>
    </row>
    <row r="115" spans="1:6" x14ac:dyDescent="0.3">
      <c r="A115" s="14">
        <v>114</v>
      </c>
      <c r="B115" s="14" t="s">
        <v>470</v>
      </c>
      <c r="C115" s="14">
        <v>2</v>
      </c>
      <c r="D115" s="14" t="str">
        <f>IFERROR(INDEX(Teams!$B$2:$B$49,MATCH($C115,Teams!$A$2:$A$49,0)),"")</f>
        <v>Belgium</v>
      </c>
      <c r="E115" s="14" t="s">
        <v>363</v>
      </c>
      <c r="F115" s="14">
        <v>10</v>
      </c>
    </row>
    <row r="116" spans="1:6" x14ac:dyDescent="0.3">
      <c r="A116" s="14">
        <v>115</v>
      </c>
      <c r="B116" s="14" t="s">
        <v>471</v>
      </c>
      <c r="C116" s="14">
        <v>2</v>
      </c>
      <c r="D116" s="14" t="str">
        <f>IFERROR(INDEX(Teams!$B$2:$B$49,MATCH($C116,Teams!$A$2:$A$49,0)),"")</f>
        <v>Belgium</v>
      </c>
      <c r="E116" s="14" t="s">
        <v>363</v>
      </c>
      <c r="F116" s="14">
        <v>11</v>
      </c>
    </row>
    <row r="117" spans="1:6" x14ac:dyDescent="0.3">
      <c r="A117" s="14">
        <v>116</v>
      </c>
      <c r="B117" s="14" t="s">
        <v>472</v>
      </c>
      <c r="C117" s="14">
        <v>2</v>
      </c>
      <c r="D117" s="14" t="str">
        <f>IFERROR(INDEX(Teams!$B$2:$B$49,MATCH($C117,Teams!$A$2:$A$49,0)),"")</f>
        <v>Belgium</v>
      </c>
      <c r="E117" s="14" t="s">
        <v>354</v>
      </c>
      <c r="F117" s="14">
        <v>12</v>
      </c>
    </row>
    <row r="118" spans="1:6" x14ac:dyDescent="0.3">
      <c r="A118" s="14">
        <v>117</v>
      </c>
      <c r="B118" s="14" t="s">
        <v>473</v>
      </c>
      <c r="C118" s="14">
        <v>2</v>
      </c>
      <c r="D118" s="14" t="str">
        <f>IFERROR(INDEX(Teams!$B$2:$B$49,MATCH($C118,Teams!$A$2:$A$49,0)),"")</f>
        <v>Belgium</v>
      </c>
      <c r="E118" s="14" t="s">
        <v>354</v>
      </c>
      <c r="F118" s="14">
        <v>13</v>
      </c>
    </row>
    <row r="119" spans="1:6" x14ac:dyDescent="0.3">
      <c r="A119" s="14">
        <v>118</v>
      </c>
      <c r="B119" s="14" t="s">
        <v>474</v>
      </c>
      <c r="C119" s="14">
        <v>2</v>
      </c>
      <c r="D119" s="14" t="str">
        <f>IFERROR(INDEX(Teams!$B$2:$B$49,MATCH($C119,Teams!$A$2:$A$49,0)),"")</f>
        <v>Belgium</v>
      </c>
      <c r="E119" s="14" t="s">
        <v>363</v>
      </c>
      <c r="F119" s="14">
        <v>14</v>
      </c>
    </row>
    <row r="120" spans="1:6" x14ac:dyDescent="0.3">
      <c r="A120" s="14">
        <v>119</v>
      </c>
      <c r="B120" s="14" t="s">
        <v>475</v>
      </c>
      <c r="C120" s="14">
        <v>2</v>
      </c>
      <c r="D120" s="14" t="str">
        <f>IFERROR(INDEX(Teams!$B$2:$B$49,MATCH($C120,Teams!$A$2:$A$49,0)),"")</f>
        <v>Belgium</v>
      </c>
      <c r="E120" s="14" t="s">
        <v>356</v>
      </c>
      <c r="F120" s="14">
        <v>15</v>
      </c>
    </row>
    <row r="121" spans="1:6" x14ac:dyDescent="0.3">
      <c r="A121" s="14">
        <v>120</v>
      </c>
      <c r="B121" s="14" t="s">
        <v>476</v>
      </c>
      <c r="C121" s="14">
        <v>2</v>
      </c>
      <c r="D121" s="14" t="str">
        <f>IFERROR(INDEX(Teams!$B$2:$B$49,MATCH($C121,Teams!$A$2:$A$49,0)),"")</f>
        <v>Belgium</v>
      </c>
      <c r="E121" s="14" t="s">
        <v>356</v>
      </c>
      <c r="F121" s="14">
        <v>16</v>
      </c>
    </row>
    <row r="122" spans="1:6" x14ac:dyDescent="0.3">
      <c r="A122" s="14">
        <v>121</v>
      </c>
      <c r="B122" s="14" t="s">
        <v>477</v>
      </c>
      <c r="C122" s="14">
        <v>2</v>
      </c>
      <c r="D122" s="14" t="str">
        <f>IFERROR(INDEX(Teams!$B$2:$B$49,MATCH($C122,Teams!$A$2:$A$49,0)),"")</f>
        <v>Belgium</v>
      </c>
      <c r="E122" s="14" t="s">
        <v>363</v>
      </c>
      <c r="F122" s="14">
        <v>17</v>
      </c>
    </row>
    <row r="123" spans="1:6" x14ac:dyDescent="0.3">
      <c r="A123" s="14">
        <v>122</v>
      </c>
      <c r="B123" s="14" t="s">
        <v>478</v>
      </c>
      <c r="C123" s="14">
        <v>2</v>
      </c>
      <c r="D123" s="14" t="str">
        <f>IFERROR(INDEX(Teams!$B$2:$B$49,MATCH($C123,Teams!$A$2:$A$49,0)),"")</f>
        <v>Belgium</v>
      </c>
      <c r="E123" s="14" t="s">
        <v>356</v>
      </c>
      <c r="F123" s="14">
        <v>18</v>
      </c>
    </row>
    <row r="124" spans="1:6" x14ac:dyDescent="0.3">
      <c r="A124" s="14">
        <v>123</v>
      </c>
      <c r="B124" s="14" t="s">
        <v>479</v>
      </c>
      <c r="C124" s="14">
        <v>2</v>
      </c>
      <c r="D124" s="14" t="str">
        <f>IFERROR(INDEX(Teams!$B$2:$B$49,MATCH($C124,Teams!$A$2:$A$49,0)),"")</f>
        <v>Belgium</v>
      </c>
      <c r="E124" s="14" t="s">
        <v>361</v>
      </c>
      <c r="F124" s="14">
        <v>19</v>
      </c>
    </row>
    <row r="125" spans="1:6" x14ac:dyDescent="0.3">
      <c r="A125" s="14">
        <v>124</v>
      </c>
      <c r="B125" s="14" t="s">
        <v>480</v>
      </c>
      <c r="C125" s="14">
        <v>2</v>
      </c>
      <c r="D125" s="14" t="str">
        <f>IFERROR(INDEX(Teams!$B$2:$B$49,MATCH($C125,Teams!$A$2:$A$49,0)),"")</f>
        <v>Belgium</v>
      </c>
      <c r="E125" s="14" t="s">
        <v>361</v>
      </c>
      <c r="F125" s="14">
        <v>20</v>
      </c>
    </row>
    <row r="126" spans="1:6" x14ac:dyDescent="0.3">
      <c r="A126" s="14">
        <v>125</v>
      </c>
      <c r="B126" s="14" t="s">
        <v>481</v>
      </c>
      <c r="C126" s="14">
        <v>2</v>
      </c>
      <c r="D126" s="14" t="str">
        <f>IFERROR(INDEX(Teams!$B$2:$B$49,MATCH($C126,Teams!$A$2:$A$49,0)),"")</f>
        <v>Belgium</v>
      </c>
      <c r="E126" s="14" t="s">
        <v>356</v>
      </c>
      <c r="F126" s="14">
        <v>21</v>
      </c>
    </row>
    <row r="127" spans="1:6" x14ac:dyDescent="0.3">
      <c r="A127" s="14">
        <v>126</v>
      </c>
      <c r="B127" s="14" t="s">
        <v>482</v>
      </c>
      <c r="C127" s="14">
        <v>2</v>
      </c>
      <c r="D127" s="14" t="str">
        <f>IFERROR(INDEX(Teams!$B$2:$B$49,MATCH($C127,Teams!$A$2:$A$49,0)),"")</f>
        <v>Belgium</v>
      </c>
      <c r="E127" s="14" t="s">
        <v>361</v>
      </c>
      <c r="F127" s="14">
        <v>22</v>
      </c>
    </row>
    <row r="128" spans="1:6" x14ac:dyDescent="0.3">
      <c r="A128" s="14">
        <v>127</v>
      </c>
      <c r="B128" s="14" t="s">
        <v>483</v>
      </c>
      <c r="C128" s="14">
        <v>2</v>
      </c>
      <c r="D128" s="14" t="str">
        <f>IFERROR(INDEX(Teams!$B$2:$B$49,MATCH($C128,Teams!$A$2:$A$49,0)),"")</f>
        <v>Belgium</v>
      </c>
      <c r="E128" s="14" t="s">
        <v>361</v>
      </c>
      <c r="F128" s="14">
        <v>23</v>
      </c>
    </row>
    <row r="129" spans="1:6" x14ac:dyDescent="0.3">
      <c r="A129" s="14">
        <v>128</v>
      </c>
      <c r="B129" s="14" t="s">
        <v>484</v>
      </c>
      <c r="C129" s="14">
        <v>2</v>
      </c>
      <c r="D129" s="14" t="str">
        <f>IFERROR(INDEX(Teams!$B$2:$B$49,MATCH($C129,Teams!$A$2:$A$49,0)),"")</f>
        <v>Belgium</v>
      </c>
      <c r="E129" s="14" t="s">
        <v>361</v>
      </c>
      <c r="F129" s="14">
        <v>24</v>
      </c>
    </row>
    <row r="130" spans="1:6" x14ac:dyDescent="0.3">
      <c r="A130" s="14">
        <v>129</v>
      </c>
      <c r="B130" s="14" t="s">
        <v>485</v>
      </c>
      <c r="C130" s="14">
        <v>2</v>
      </c>
      <c r="D130" s="14" t="str">
        <f>IFERROR(INDEX(Teams!$B$2:$B$49,MATCH($C130,Teams!$A$2:$A$49,0)),"")</f>
        <v>Belgium</v>
      </c>
      <c r="E130" s="14" t="s">
        <v>356</v>
      </c>
      <c r="F130" s="14">
        <v>25</v>
      </c>
    </row>
    <row r="131" spans="1:6" x14ac:dyDescent="0.3">
      <c r="A131" s="14">
        <v>130</v>
      </c>
      <c r="B131" s="14" t="s">
        <v>486</v>
      </c>
      <c r="C131" s="14">
        <v>2</v>
      </c>
      <c r="D131" s="14" t="str">
        <f>IFERROR(INDEX(Teams!$B$2:$B$49,MATCH($C131,Teams!$A$2:$A$49,0)),"")</f>
        <v>Belgium</v>
      </c>
      <c r="E131" s="14" t="s">
        <v>363</v>
      </c>
      <c r="F131" s="14">
        <v>26</v>
      </c>
    </row>
    <row r="132" spans="1:6" x14ac:dyDescent="0.3">
      <c r="A132" s="14">
        <v>131</v>
      </c>
      <c r="B132" s="14" t="s">
        <v>487</v>
      </c>
      <c r="C132" s="14">
        <v>26</v>
      </c>
      <c r="D132" s="14" t="str">
        <f>IFERROR(INDEX(Teams!$B$2:$B$49,MATCH($C132,Teams!$A$2:$A$49,0)),"")</f>
        <v>Bosnia and Herzegovina</v>
      </c>
      <c r="E132" s="14" t="s">
        <v>354</v>
      </c>
      <c r="F132" s="14">
        <v>1</v>
      </c>
    </row>
    <row r="133" spans="1:6" x14ac:dyDescent="0.3">
      <c r="A133" s="14">
        <v>132</v>
      </c>
      <c r="B133" s="14" t="s">
        <v>488</v>
      </c>
      <c r="C133" s="14">
        <v>26</v>
      </c>
      <c r="D133" s="14" t="str">
        <f>IFERROR(INDEX(Teams!$B$2:$B$49,MATCH($C133,Teams!$A$2:$A$49,0)),"")</f>
        <v>Bosnia and Herzegovina</v>
      </c>
      <c r="E133" s="14" t="s">
        <v>356</v>
      </c>
      <c r="F133" s="14">
        <v>2</v>
      </c>
    </row>
    <row r="134" spans="1:6" x14ac:dyDescent="0.3">
      <c r="A134" s="14">
        <v>133</v>
      </c>
      <c r="B134" s="14" t="s">
        <v>489</v>
      </c>
      <c r="C134" s="14">
        <v>26</v>
      </c>
      <c r="D134" s="14" t="str">
        <f>IFERROR(INDEX(Teams!$B$2:$B$49,MATCH($C134,Teams!$A$2:$A$49,0)),"")</f>
        <v>Bosnia and Herzegovina</v>
      </c>
      <c r="E134" s="14" t="s">
        <v>356</v>
      </c>
      <c r="F134" s="14">
        <v>3</v>
      </c>
    </row>
    <row r="135" spans="1:6" x14ac:dyDescent="0.3">
      <c r="A135" s="14">
        <v>134</v>
      </c>
      <c r="B135" s="14" t="s">
        <v>490</v>
      </c>
      <c r="C135" s="14">
        <v>26</v>
      </c>
      <c r="D135" s="14" t="str">
        <f>IFERROR(INDEX(Teams!$B$2:$B$49,MATCH($C135,Teams!$A$2:$A$49,0)),"")</f>
        <v>Bosnia and Herzegovina</v>
      </c>
      <c r="E135" s="14" t="s">
        <v>356</v>
      </c>
      <c r="F135" s="14">
        <v>4</v>
      </c>
    </row>
    <row r="136" spans="1:6" x14ac:dyDescent="0.3">
      <c r="A136" s="14">
        <v>135</v>
      </c>
      <c r="B136" s="14" t="s">
        <v>491</v>
      </c>
      <c r="C136" s="14">
        <v>26</v>
      </c>
      <c r="D136" s="14" t="str">
        <f>IFERROR(INDEX(Teams!$B$2:$B$49,MATCH($C136,Teams!$A$2:$A$49,0)),"")</f>
        <v>Bosnia and Herzegovina</v>
      </c>
      <c r="E136" s="14" t="s">
        <v>356</v>
      </c>
      <c r="F136" s="14">
        <v>5</v>
      </c>
    </row>
    <row r="137" spans="1:6" x14ac:dyDescent="0.3">
      <c r="A137" s="14">
        <v>136</v>
      </c>
      <c r="B137" s="14" t="s">
        <v>492</v>
      </c>
      <c r="C137" s="14">
        <v>26</v>
      </c>
      <c r="D137" s="14" t="str">
        <f>IFERROR(INDEX(Teams!$B$2:$B$49,MATCH($C137,Teams!$A$2:$A$49,0)),"")</f>
        <v>Bosnia and Herzegovina</v>
      </c>
      <c r="E137" s="14" t="s">
        <v>361</v>
      </c>
      <c r="F137" s="14">
        <v>6</v>
      </c>
    </row>
    <row r="138" spans="1:6" x14ac:dyDescent="0.3">
      <c r="A138" s="14">
        <v>137</v>
      </c>
      <c r="B138" s="14" t="s">
        <v>493</v>
      </c>
      <c r="C138" s="14">
        <v>26</v>
      </c>
      <c r="D138" s="14" t="str">
        <f>IFERROR(INDEX(Teams!$B$2:$B$49,MATCH($C138,Teams!$A$2:$A$49,0)),"")</f>
        <v>Bosnia and Herzegovina</v>
      </c>
      <c r="E138" s="14" t="s">
        <v>356</v>
      </c>
      <c r="F138" s="14">
        <v>7</v>
      </c>
    </row>
    <row r="139" spans="1:6" x14ac:dyDescent="0.3">
      <c r="A139" s="14">
        <v>138</v>
      </c>
      <c r="B139" s="14" t="s">
        <v>494</v>
      </c>
      <c r="C139" s="14">
        <v>26</v>
      </c>
      <c r="D139" s="14" t="str">
        <f>IFERROR(INDEX(Teams!$B$2:$B$49,MATCH($C139,Teams!$A$2:$A$49,0)),"")</f>
        <v>Bosnia and Herzegovina</v>
      </c>
      <c r="E139" s="14" t="s">
        <v>361</v>
      </c>
      <c r="F139" s="14">
        <v>8</v>
      </c>
    </row>
    <row r="140" spans="1:6" x14ac:dyDescent="0.3">
      <c r="A140" s="14">
        <v>139</v>
      </c>
      <c r="B140" s="14" t="s">
        <v>495</v>
      </c>
      <c r="C140" s="14">
        <v>26</v>
      </c>
      <c r="D140" s="14" t="str">
        <f>IFERROR(INDEX(Teams!$B$2:$B$49,MATCH($C140,Teams!$A$2:$A$49,0)),"")</f>
        <v>Bosnia and Herzegovina</v>
      </c>
      <c r="E140" s="14" t="s">
        <v>363</v>
      </c>
      <c r="F140" s="14">
        <v>9</v>
      </c>
    </row>
    <row r="141" spans="1:6" x14ac:dyDescent="0.3">
      <c r="A141" s="14">
        <v>140</v>
      </c>
      <c r="B141" s="14" t="s">
        <v>496</v>
      </c>
      <c r="C141" s="14">
        <v>26</v>
      </c>
      <c r="D141" s="14" t="str">
        <f>IFERROR(INDEX(Teams!$B$2:$B$49,MATCH($C141,Teams!$A$2:$A$49,0)),"")</f>
        <v>Bosnia and Herzegovina</v>
      </c>
      <c r="E141" s="14" t="s">
        <v>363</v>
      </c>
      <c r="F141" s="14">
        <v>10</v>
      </c>
    </row>
    <row r="142" spans="1:6" x14ac:dyDescent="0.3">
      <c r="A142" s="14">
        <v>141</v>
      </c>
      <c r="B142" s="14" t="s">
        <v>497</v>
      </c>
      <c r="C142" s="14">
        <v>26</v>
      </c>
      <c r="D142" s="14" t="str">
        <f>IFERROR(INDEX(Teams!$B$2:$B$49,MATCH($C142,Teams!$A$2:$A$49,0)),"")</f>
        <v>Bosnia and Herzegovina</v>
      </c>
      <c r="E142" s="14" t="s">
        <v>363</v>
      </c>
      <c r="F142" s="14">
        <v>11</v>
      </c>
    </row>
    <row r="143" spans="1:6" x14ac:dyDescent="0.3">
      <c r="A143" s="14">
        <v>142</v>
      </c>
      <c r="B143" s="14" t="s">
        <v>498</v>
      </c>
      <c r="C143" s="14">
        <v>26</v>
      </c>
      <c r="D143" s="14" t="str">
        <f>IFERROR(INDEX(Teams!$B$2:$B$49,MATCH($C143,Teams!$A$2:$A$49,0)),"")</f>
        <v>Bosnia and Herzegovina</v>
      </c>
      <c r="E143" s="14" t="s">
        <v>354</v>
      </c>
      <c r="F143" s="14">
        <v>12</v>
      </c>
    </row>
    <row r="144" spans="1:6" x14ac:dyDescent="0.3">
      <c r="A144" s="14">
        <v>143</v>
      </c>
      <c r="B144" s="14" t="s">
        <v>499</v>
      </c>
      <c r="C144" s="14">
        <v>26</v>
      </c>
      <c r="D144" s="14" t="str">
        <f>IFERROR(INDEX(Teams!$B$2:$B$49,MATCH($C144,Teams!$A$2:$A$49,0)),"")</f>
        <v>Bosnia and Herzegovina</v>
      </c>
      <c r="E144" s="14" t="s">
        <v>361</v>
      </c>
      <c r="F144" s="14">
        <v>13</v>
      </c>
    </row>
    <row r="145" spans="1:6" x14ac:dyDescent="0.3">
      <c r="A145" s="14">
        <v>144</v>
      </c>
      <c r="B145" s="14" t="s">
        <v>500</v>
      </c>
      <c r="C145" s="14">
        <v>26</v>
      </c>
      <c r="D145" s="14" t="str">
        <f>IFERROR(INDEX(Teams!$B$2:$B$49,MATCH($C145,Teams!$A$2:$A$49,0)),"")</f>
        <v>Bosnia and Herzegovina</v>
      </c>
      <c r="E145" s="14" t="s">
        <v>361</v>
      </c>
      <c r="F145" s="14">
        <v>14</v>
      </c>
    </row>
    <row r="146" spans="1:6" x14ac:dyDescent="0.3">
      <c r="A146" s="14">
        <v>145</v>
      </c>
      <c r="B146" s="14" t="s">
        <v>501</v>
      </c>
      <c r="C146" s="14">
        <v>26</v>
      </c>
      <c r="D146" s="14" t="str">
        <f>IFERROR(INDEX(Teams!$B$2:$B$49,MATCH($C146,Teams!$A$2:$A$49,0)),"")</f>
        <v>Bosnia and Herzegovina</v>
      </c>
      <c r="E146" s="14" t="s">
        <v>361</v>
      </c>
      <c r="F146" s="14">
        <v>15</v>
      </c>
    </row>
    <row r="147" spans="1:6" x14ac:dyDescent="0.3">
      <c r="A147" s="14">
        <v>146</v>
      </c>
      <c r="B147" s="14" t="s">
        <v>502</v>
      </c>
      <c r="C147" s="14">
        <v>26</v>
      </c>
      <c r="D147" s="14" t="str">
        <f>IFERROR(INDEX(Teams!$B$2:$B$49,MATCH($C147,Teams!$A$2:$A$49,0)),"")</f>
        <v>Bosnia and Herzegovina</v>
      </c>
      <c r="E147" s="14" t="s">
        <v>361</v>
      </c>
      <c r="F147" s="14">
        <v>16</v>
      </c>
    </row>
    <row r="148" spans="1:6" x14ac:dyDescent="0.3">
      <c r="A148" s="14">
        <v>147</v>
      </c>
      <c r="B148" s="14" t="s">
        <v>503</v>
      </c>
      <c r="C148" s="14">
        <v>26</v>
      </c>
      <c r="D148" s="14" t="str">
        <f>IFERROR(INDEX(Teams!$B$2:$B$49,MATCH($C148,Teams!$A$2:$A$49,0)),"")</f>
        <v>Bosnia and Herzegovina</v>
      </c>
      <c r="E148" s="14" t="s">
        <v>361</v>
      </c>
      <c r="F148" s="14">
        <v>17</v>
      </c>
    </row>
    <row r="149" spans="1:6" x14ac:dyDescent="0.3">
      <c r="A149" s="14">
        <v>148</v>
      </c>
      <c r="B149" s="14" t="s">
        <v>504</v>
      </c>
      <c r="C149" s="14">
        <v>26</v>
      </c>
      <c r="D149" s="14" t="str">
        <f>IFERROR(INDEX(Teams!$B$2:$B$49,MATCH($C149,Teams!$A$2:$A$49,0)),"")</f>
        <v>Bosnia and Herzegovina</v>
      </c>
      <c r="E149" s="14" t="s">
        <v>356</v>
      </c>
      <c r="F149" s="14">
        <v>18</v>
      </c>
    </row>
    <row r="150" spans="1:6" x14ac:dyDescent="0.3">
      <c r="A150" s="14">
        <v>149</v>
      </c>
      <c r="B150" s="14" t="s">
        <v>505</v>
      </c>
      <c r="C150" s="14">
        <v>26</v>
      </c>
      <c r="D150" s="14" t="str">
        <f>IFERROR(INDEX(Teams!$B$2:$B$49,MATCH($C150,Teams!$A$2:$A$49,0)),"")</f>
        <v>Bosnia and Herzegovina</v>
      </c>
      <c r="E150" s="14" t="s">
        <v>363</v>
      </c>
      <c r="F150" s="14">
        <v>19</v>
      </c>
    </row>
    <row r="151" spans="1:6" x14ac:dyDescent="0.3">
      <c r="A151" s="14">
        <v>150</v>
      </c>
      <c r="B151" s="14" t="s">
        <v>506</v>
      </c>
      <c r="C151" s="14">
        <v>26</v>
      </c>
      <c r="D151" s="14" t="str">
        <f>IFERROR(INDEX(Teams!$B$2:$B$49,MATCH($C151,Teams!$A$2:$A$49,0)),"")</f>
        <v>Bosnia and Herzegovina</v>
      </c>
      <c r="E151" s="14" t="s">
        <v>363</v>
      </c>
      <c r="F151" s="14">
        <v>20</v>
      </c>
    </row>
    <row r="152" spans="1:6" x14ac:dyDescent="0.3">
      <c r="A152" s="14">
        <v>151</v>
      </c>
      <c r="B152" s="14" t="s">
        <v>507</v>
      </c>
      <c r="C152" s="14">
        <v>26</v>
      </c>
      <c r="D152" s="14" t="str">
        <f>IFERROR(INDEX(Teams!$B$2:$B$49,MATCH($C152,Teams!$A$2:$A$49,0)),"")</f>
        <v>Bosnia and Herzegovina</v>
      </c>
      <c r="E152" s="14" t="s">
        <v>356</v>
      </c>
      <c r="F152" s="14">
        <v>21</v>
      </c>
    </row>
    <row r="153" spans="1:6" x14ac:dyDescent="0.3">
      <c r="A153" s="14">
        <v>152</v>
      </c>
      <c r="B153" s="14" t="s">
        <v>508</v>
      </c>
      <c r="C153" s="14">
        <v>26</v>
      </c>
      <c r="D153" s="14" t="str">
        <f>IFERROR(INDEX(Teams!$B$2:$B$49,MATCH($C153,Teams!$A$2:$A$49,0)),"")</f>
        <v>Bosnia and Herzegovina</v>
      </c>
      <c r="E153" s="14" t="s">
        <v>354</v>
      </c>
      <c r="F153" s="14">
        <v>22</v>
      </c>
    </row>
    <row r="154" spans="1:6" x14ac:dyDescent="0.3">
      <c r="A154" s="14">
        <v>153</v>
      </c>
      <c r="B154" s="14" t="s">
        <v>509</v>
      </c>
      <c r="C154" s="14">
        <v>26</v>
      </c>
      <c r="D154" s="14" t="str">
        <f>IFERROR(INDEX(Teams!$B$2:$B$49,MATCH($C154,Teams!$A$2:$A$49,0)),"")</f>
        <v>Bosnia and Herzegovina</v>
      </c>
      <c r="E154" s="14" t="s">
        <v>363</v>
      </c>
      <c r="F154" s="14">
        <v>23</v>
      </c>
    </row>
    <row r="155" spans="1:6" x14ac:dyDescent="0.3">
      <c r="A155" s="14">
        <v>154</v>
      </c>
      <c r="B155" s="14" t="s">
        <v>510</v>
      </c>
      <c r="C155" s="14">
        <v>26</v>
      </c>
      <c r="D155" s="14" t="str">
        <f>IFERROR(INDEX(Teams!$B$2:$B$49,MATCH($C155,Teams!$A$2:$A$49,0)),"")</f>
        <v>Bosnia and Herzegovina</v>
      </c>
      <c r="E155" s="14" t="s">
        <v>356</v>
      </c>
      <c r="F155" s="14">
        <v>24</v>
      </c>
    </row>
    <row r="156" spans="1:6" x14ac:dyDescent="0.3">
      <c r="A156" s="14">
        <v>155</v>
      </c>
      <c r="B156" s="14" t="s">
        <v>511</v>
      </c>
      <c r="C156" s="14">
        <v>26</v>
      </c>
      <c r="D156" s="14" t="str">
        <f>IFERROR(INDEX(Teams!$B$2:$B$49,MATCH($C156,Teams!$A$2:$A$49,0)),"")</f>
        <v>Bosnia and Herzegovina</v>
      </c>
      <c r="E156" s="14" t="s">
        <v>363</v>
      </c>
      <c r="F156" s="14">
        <v>25</v>
      </c>
    </row>
    <row r="157" spans="1:6" x14ac:dyDescent="0.3">
      <c r="A157" s="14">
        <v>156</v>
      </c>
      <c r="B157" s="14" t="s">
        <v>512</v>
      </c>
      <c r="C157" s="14">
        <v>26</v>
      </c>
      <c r="D157" s="14" t="str">
        <f>IFERROR(INDEX(Teams!$B$2:$B$49,MATCH($C157,Teams!$A$2:$A$49,0)),"")</f>
        <v>Bosnia and Herzegovina</v>
      </c>
      <c r="E157" s="14" t="s">
        <v>361</v>
      </c>
      <c r="F157" s="14">
        <v>26</v>
      </c>
    </row>
    <row r="158" spans="1:6" x14ac:dyDescent="0.3">
      <c r="A158" s="14">
        <v>157</v>
      </c>
      <c r="B158" s="14" t="s">
        <v>513</v>
      </c>
      <c r="C158" s="14">
        <v>3</v>
      </c>
      <c r="D158" s="14" t="str">
        <f>IFERROR(INDEX(Teams!$B$2:$B$49,MATCH($C158,Teams!$A$2:$A$49,0)),"")</f>
        <v>Brazil</v>
      </c>
      <c r="E158" s="14" t="s">
        <v>354</v>
      </c>
      <c r="F158" s="14">
        <v>1</v>
      </c>
    </row>
    <row r="159" spans="1:6" x14ac:dyDescent="0.3">
      <c r="A159" s="14">
        <v>158</v>
      </c>
      <c r="B159" s="14" t="s">
        <v>514</v>
      </c>
      <c r="C159" s="14">
        <v>3</v>
      </c>
      <c r="D159" s="14" t="str">
        <f>IFERROR(INDEX(Teams!$B$2:$B$49,MATCH($C159,Teams!$A$2:$A$49,0)),"")</f>
        <v>Brazil</v>
      </c>
      <c r="E159" s="14" t="s">
        <v>361</v>
      </c>
      <c r="F159" s="14">
        <v>2</v>
      </c>
    </row>
    <row r="160" spans="1:6" x14ac:dyDescent="0.3">
      <c r="A160" s="14">
        <v>159</v>
      </c>
      <c r="B160" s="14" t="s">
        <v>515</v>
      </c>
      <c r="C160" s="14">
        <v>3</v>
      </c>
      <c r="D160" s="14" t="str">
        <f>IFERROR(INDEX(Teams!$B$2:$B$49,MATCH($C160,Teams!$A$2:$A$49,0)),"")</f>
        <v>Brazil</v>
      </c>
      <c r="E160" s="14" t="s">
        <v>356</v>
      </c>
      <c r="F160" s="14">
        <v>3</v>
      </c>
    </row>
    <row r="161" spans="1:6" x14ac:dyDescent="0.3">
      <c r="A161" s="14">
        <v>160</v>
      </c>
      <c r="B161" s="14" t="s">
        <v>516</v>
      </c>
      <c r="C161" s="14">
        <v>3</v>
      </c>
      <c r="D161" s="14" t="str">
        <f>IFERROR(INDEX(Teams!$B$2:$B$49,MATCH($C161,Teams!$A$2:$A$49,0)),"")</f>
        <v>Brazil</v>
      </c>
      <c r="E161" s="14" t="s">
        <v>356</v>
      </c>
      <c r="F161" s="14">
        <v>4</v>
      </c>
    </row>
    <row r="162" spans="1:6" x14ac:dyDescent="0.3">
      <c r="A162" s="14">
        <v>161</v>
      </c>
      <c r="B162" s="14" t="s">
        <v>517</v>
      </c>
      <c r="C162" s="14">
        <v>3</v>
      </c>
      <c r="D162" s="14" t="str">
        <f>IFERROR(INDEX(Teams!$B$2:$B$49,MATCH($C162,Teams!$A$2:$A$49,0)),"")</f>
        <v>Brazil</v>
      </c>
      <c r="E162" s="14" t="s">
        <v>361</v>
      </c>
      <c r="F162" s="14">
        <v>5</v>
      </c>
    </row>
    <row r="163" spans="1:6" x14ac:dyDescent="0.3">
      <c r="A163" s="14">
        <v>162</v>
      </c>
      <c r="B163" s="14" t="s">
        <v>518</v>
      </c>
      <c r="C163" s="14">
        <v>3</v>
      </c>
      <c r="D163" s="14" t="str">
        <f>IFERROR(INDEX(Teams!$B$2:$B$49,MATCH($C163,Teams!$A$2:$A$49,0)),"")</f>
        <v>Brazil</v>
      </c>
      <c r="E163" s="14" t="s">
        <v>356</v>
      </c>
      <c r="F163" s="14">
        <v>6</v>
      </c>
    </row>
    <row r="164" spans="1:6" x14ac:dyDescent="0.3">
      <c r="A164" s="14">
        <v>163</v>
      </c>
      <c r="B164" s="14" t="s">
        <v>519</v>
      </c>
      <c r="C164" s="14">
        <v>3</v>
      </c>
      <c r="D164" s="14" t="str">
        <f>IFERROR(INDEX(Teams!$B$2:$B$49,MATCH($C164,Teams!$A$2:$A$49,0)),"")</f>
        <v>Brazil</v>
      </c>
      <c r="E164" s="14" t="s">
        <v>363</v>
      </c>
      <c r="F164" s="14">
        <v>7</v>
      </c>
    </row>
    <row r="165" spans="1:6" x14ac:dyDescent="0.3">
      <c r="A165" s="14">
        <v>164</v>
      </c>
      <c r="B165" s="14" t="s">
        <v>520</v>
      </c>
      <c r="C165" s="14">
        <v>3</v>
      </c>
      <c r="D165" s="14" t="str">
        <f>IFERROR(INDEX(Teams!$B$2:$B$49,MATCH($C165,Teams!$A$2:$A$49,0)),"")</f>
        <v>Brazil</v>
      </c>
      <c r="E165" s="14" t="s">
        <v>361</v>
      </c>
      <c r="F165" s="14">
        <v>8</v>
      </c>
    </row>
    <row r="166" spans="1:6" x14ac:dyDescent="0.3">
      <c r="A166" s="14">
        <v>165</v>
      </c>
      <c r="B166" s="14" t="s">
        <v>521</v>
      </c>
      <c r="C166" s="14">
        <v>3</v>
      </c>
      <c r="D166" s="14" t="str">
        <f>IFERROR(INDEX(Teams!$B$2:$B$49,MATCH($C166,Teams!$A$2:$A$49,0)),"")</f>
        <v>Brazil</v>
      </c>
      <c r="E166" s="14" t="s">
        <v>363</v>
      </c>
      <c r="F166" s="14">
        <v>9</v>
      </c>
    </row>
    <row r="167" spans="1:6" x14ac:dyDescent="0.3">
      <c r="A167" s="14">
        <v>166</v>
      </c>
      <c r="B167" s="14" t="s">
        <v>522</v>
      </c>
      <c r="C167" s="14">
        <v>3</v>
      </c>
      <c r="D167" s="14" t="str">
        <f>IFERROR(INDEX(Teams!$B$2:$B$49,MATCH($C167,Teams!$A$2:$A$49,0)),"")</f>
        <v>Brazil</v>
      </c>
      <c r="E167" s="14" t="s">
        <v>363</v>
      </c>
      <c r="F167" s="14">
        <v>10</v>
      </c>
    </row>
    <row r="168" spans="1:6" x14ac:dyDescent="0.3">
      <c r="A168" s="14">
        <v>167</v>
      </c>
      <c r="B168" s="14" t="s">
        <v>523</v>
      </c>
      <c r="C168" s="14">
        <v>3</v>
      </c>
      <c r="D168" s="14" t="str">
        <f>IFERROR(INDEX(Teams!$B$2:$B$49,MATCH($C168,Teams!$A$2:$A$49,0)),"")</f>
        <v>Brazil</v>
      </c>
      <c r="E168" s="14" t="s">
        <v>363</v>
      </c>
      <c r="F168" s="14">
        <v>11</v>
      </c>
    </row>
    <row r="169" spans="1:6" x14ac:dyDescent="0.3">
      <c r="A169" s="14">
        <v>168</v>
      </c>
      <c r="B169" s="14" t="s">
        <v>524</v>
      </c>
      <c r="C169" s="14">
        <v>3</v>
      </c>
      <c r="D169" s="14" t="str">
        <f>IFERROR(INDEX(Teams!$B$2:$B$49,MATCH($C169,Teams!$A$2:$A$49,0)),"")</f>
        <v>Brazil</v>
      </c>
      <c r="E169" s="14" t="s">
        <v>354</v>
      </c>
      <c r="F169" s="14">
        <v>12</v>
      </c>
    </row>
    <row r="170" spans="1:6" x14ac:dyDescent="0.3">
      <c r="A170" s="14">
        <v>169</v>
      </c>
      <c r="B170" s="14" t="s">
        <v>525</v>
      </c>
      <c r="C170" s="14">
        <v>3</v>
      </c>
      <c r="D170" s="14" t="str">
        <f>IFERROR(INDEX(Teams!$B$2:$B$49,MATCH($C170,Teams!$A$2:$A$49,0)),"")</f>
        <v>Brazil</v>
      </c>
      <c r="E170" s="14" t="s">
        <v>356</v>
      </c>
      <c r="F170" s="14">
        <v>13</v>
      </c>
    </row>
    <row r="171" spans="1:6" x14ac:dyDescent="0.3">
      <c r="A171" s="14">
        <v>170</v>
      </c>
      <c r="B171" s="14" t="s">
        <v>526</v>
      </c>
      <c r="C171" s="14">
        <v>3</v>
      </c>
      <c r="D171" s="14" t="str">
        <f>IFERROR(INDEX(Teams!$B$2:$B$49,MATCH($C171,Teams!$A$2:$A$49,0)),"")</f>
        <v>Brazil</v>
      </c>
      <c r="E171" s="14" t="s">
        <v>356</v>
      </c>
      <c r="F171" s="14">
        <v>14</v>
      </c>
    </row>
    <row r="172" spans="1:6" x14ac:dyDescent="0.3">
      <c r="A172" s="14">
        <v>171</v>
      </c>
      <c r="B172" s="14" t="s">
        <v>527</v>
      </c>
      <c r="C172" s="14">
        <v>3</v>
      </c>
      <c r="D172" s="14" t="str">
        <f>IFERROR(INDEX(Teams!$B$2:$B$49,MATCH($C172,Teams!$A$2:$A$49,0)),"")</f>
        <v>Brazil</v>
      </c>
      <c r="E172" s="14" t="s">
        <v>356</v>
      </c>
      <c r="F172" s="14">
        <v>15</v>
      </c>
    </row>
    <row r="173" spans="1:6" x14ac:dyDescent="0.3">
      <c r="A173" s="14">
        <v>172</v>
      </c>
      <c r="B173" s="14" t="s">
        <v>528</v>
      </c>
      <c r="C173" s="14">
        <v>3</v>
      </c>
      <c r="D173" s="14" t="str">
        <f>IFERROR(INDEX(Teams!$B$2:$B$49,MATCH($C173,Teams!$A$2:$A$49,0)),"")</f>
        <v>Brazil</v>
      </c>
      <c r="E173" s="14" t="s">
        <v>356</v>
      </c>
      <c r="F173" s="14">
        <v>16</v>
      </c>
    </row>
    <row r="174" spans="1:6" x14ac:dyDescent="0.3">
      <c r="A174" s="14">
        <v>173</v>
      </c>
      <c r="B174" s="14" t="s">
        <v>529</v>
      </c>
      <c r="C174" s="14">
        <v>3</v>
      </c>
      <c r="D174" s="14" t="str">
        <f>IFERROR(INDEX(Teams!$B$2:$B$49,MATCH($C174,Teams!$A$2:$A$49,0)),"")</f>
        <v>Brazil</v>
      </c>
      <c r="E174" s="14" t="s">
        <v>361</v>
      </c>
      <c r="F174" s="14">
        <v>17</v>
      </c>
    </row>
    <row r="175" spans="1:6" x14ac:dyDescent="0.3">
      <c r="A175" s="14">
        <v>174</v>
      </c>
      <c r="B175" s="14" t="s">
        <v>530</v>
      </c>
      <c r="C175" s="14">
        <v>3</v>
      </c>
      <c r="D175" s="14" t="str">
        <f>IFERROR(INDEX(Teams!$B$2:$B$49,MATCH($C175,Teams!$A$2:$A$49,0)),"")</f>
        <v>Brazil</v>
      </c>
      <c r="E175" s="14" t="s">
        <v>361</v>
      </c>
      <c r="F175" s="14">
        <v>18</v>
      </c>
    </row>
    <row r="176" spans="1:6" x14ac:dyDescent="0.3">
      <c r="A176" s="14">
        <v>175</v>
      </c>
      <c r="B176" s="14" t="s">
        <v>531</v>
      </c>
      <c r="C176" s="14">
        <v>3</v>
      </c>
      <c r="D176" s="14" t="str">
        <f>IFERROR(INDEX(Teams!$B$2:$B$49,MATCH($C176,Teams!$A$2:$A$49,0)),"")</f>
        <v>Brazil</v>
      </c>
      <c r="E176" s="14" t="s">
        <v>363</v>
      </c>
      <c r="F176" s="14">
        <v>19</v>
      </c>
    </row>
    <row r="177" spans="1:6" x14ac:dyDescent="0.3">
      <c r="A177" s="14">
        <v>176</v>
      </c>
      <c r="B177" s="14" t="s">
        <v>532</v>
      </c>
      <c r="C177" s="14">
        <v>3</v>
      </c>
      <c r="D177" s="14" t="str">
        <f>IFERROR(INDEX(Teams!$B$2:$B$49,MATCH($C177,Teams!$A$2:$A$49,0)),"")</f>
        <v>Brazil</v>
      </c>
      <c r="E177" s="14" t="s">
        <v>361</v>
      </c>
      <c r="F177" s="14">
        <v>20</v>
      </c>
    </row>
    <row r="178" spans="1:6" x14ac:dyDescent="0.3">
      <c r="A178" s="14">
        <v>177</v>
      </c>
      <c r="B178" s="14" t="s">
        <v>533</v>
      </c>
      <c r="C178" s="14">
        <v>3</v>
      </c>
      <c r="D178" s="14" t="str">
        <f>IFERROR(INDEX(Teams!$B$2:$B$49,MATCH($C178,Teams!$A$2:$A$49,0)),"")</f>
        <v>Brazil</v>
      </c>
      <c r="E178" s="14" t="s">
        <v>363</v>
      </c>
      <c r="F178" s="14">
        <v>21</v>
      </c>
    </row>
    <row r="179" spans="1:6" x14ac:dyDescent="0.3">
      <c r="A179" s="14">
        <v>178</v>
      </c>
      <c r="B179" s="14" t="s">
        <v>534</v>
      </c>
      <c r="C179" s="14">
        <v>3</v>
      </c>
      <c r="D179" s="14" t="str">
        <f>IFERROR(INDEX(Teams!$B$2:$B$49,MATCH($C179,Teams!$A$2:$A$49,0)),"")</f>
        <v>Brazil</v>
      </c>
      <c r="E179" s="14" t="s">
        <v>363</v>
      </c>
      <c r="F179" s="14">
        <v>22</v>
      </c>
    </row>
    <row r="180" spans="1:6" x14ac:dyDescent="0.3">
      <c r="A180" s="14">
        <v>179</v>
      </c>
      <c r="B180" s="14" t="s">
        <v>535</v>
      </c>
      <c r="C180" s="14">
        <v>3</v>
      </c>
      <c r="D180" s="14" t="str">
        <f>IFERROR(INDEX(Teams!$B$2:$B$49,MATCH($C180,Teams!$A$2:$A$49,0)),"")</f>
        <v>Brazil</v>
      </c>
      <c r="E180" s="14" t="s">
        <v>354</v>
      </c>
      <c r="F180" s="14">
        <v>23</v>
      </c>
    </row>
    <row r="181" spans="1:6" x14ac:dyDescent="0.3">
      <c r="A181" s="14">
        <v>180</v>
      </c>
      <c r="B181" s="14" t="s">
        <v>536</v>
      </c>
      <c r="C181" s="14">
        <v>3</v>
      </c>
      <c r="D181" s="14" t="str">
        <f>IFERROR(INDEX(Teams!$B$2:$B$49,MATCH($C181,Teams!$A$2:$A$49,0)),"")</f>
        <v>Brazil</v>
      </c>
      <c r="E181" s="14" t="s">
        <v>356</v>
      </c>
      <c r="F181" s="14">
        <v>24</v>
      </c>
    </row>
    <row r="182" spans="1:6" x14ac:dyDescent="0.3">
      <c r="A182" s="14">
        <v>181</v>
      </c>
      <c r="B182" s="14" t="s">
        <v>537</v>
      </c>
      <c r="C182" s="14">
        <v>3</v>
      </c>
      <c r="D182" s="14" t="str">
        <f>IFERROR(INDEX(Teams!$B$2:$B$49,MATCH($C182,Teams!$A$2:$A$49,0)),"")</f>
        <v>Brazil</v>
      </c>
      <c r="E182" s="14" t="s">
        <v>363</v>
      </c>
      <c r="F182" s="14">
        <v>25</v>
      </c>
    </row>
    <row r="183" spans="1:6" x14ac:dyDescent="0.3">
      <c r="A183" s="14">
        <v>182</v>
      </c>
      <c r="B183" s="14" t="s">
        <v>538</v>
      </c>
      <c r="C183" s="14">
        <v>3</v>
      </c>
      <c r="D183" s="14" t="str">
        <f>IFERROR(INDEX(Teams!$B$2:$B$49,MATCH($C183,Teams!$A$2:$A$49,0)),"")</f>
        <v>Brazil</v>
      </c>
      <c r="E183" s="14" t="s">
        <v>363</v>
      </c>
      <c r="F183" s="14">
        <v>26</v>
      </c>
    </row>
    <row r="184" spans="1:6" x14ac:dyDescent="0.3">
      <c r="A184" s="14">
        <v>183</v>
      </c>
      <c r="B184" s="14" t="s">
        <v>539</v>
      </c>
      <c r="C184" s="14">
        <v>15</v>
      </c>
      <c r="D184" s="14" t="str">
        <f>IFERROR(INDEX(Teams!$B$2:$B$49,MATCH($C184,Teams!$A$2:$A$49,0)),"")</f>
        <v>Cabo Verde</v>
      </c>
      <c r="E184" s="14" t="s">
        <v>354</v>
      </c>
      <c r="F184" s="14">
        <v>1</v>
      </c>
    </row>
    <row r="185" spans="1:6" x14ac:dyDescent="0.3">
      <c r="A185" s="14">
        <v>184</v>
      </c>
      <c r="B185" s="14" t="s">
        <v>540</v>
      </c>
      <c r="C185" s="14">
        <v>15</v>
      </c>
      <c r="D185" s="14" t="str">
        <f>IFERROR(INDEX(Teams!$B$2:$B$49,MATCH($C185,Teams!$A$2:$A$49,0)),"")</f>
        <v>Cabo Verde</v>
      </c>
      <c r="E185" s="14" t="s">
        <v>356</v>
      </c>
      <c r="F185" s="14">
        <v>2</v>
      </c>
    </row>
    <row r="186" spans="1:6" x14ac:dyDescent="0.3">
      <c r="A186" s="14">
        <v>185</v>
      </c>
      <c r="B186" s="14" t="s">
        <v>541</v>
      </c>
      <c r="C186" s="14">
        <v>15</v>
      </c>
      <c r="D186" s="14" t="str">
        <f>IFERROR(INDEX(Teams!$B$2:$B$49,MATCH($C186,Teams!$A$2:$A$49,0)),"")</f>
        <v>Cabo Verde</v>
      </c>
      <c r="E186" s="14" t="s">
        <v>356</v>
      </c>
      <c r="F186" s="14">
        <v>3</v>
      </c>
    </row>
    <row r="187" spans="1:6" x14ac:dyDescent="0.3">
      <c r="A187" s="14">
        <v>186</v>
      </c>
      <c r="B187" s="14" t="s">
        <v>542</v>
      </c>
      <c r="C187" s="14">
        <v>15</v>
      </c>
      <c r="D187" s="14" t="str">
        <f>IFERROR(INDEX(Teams!$B$2:$B$49,MATCH($C187,Teams!$A$2:$A$49,0)),"")</f>
        <v>Cabo Verde</v>
      </c>
      <c r="E187" s="14" t="s">
        <v>356</v>
      </c>
      <c r="F187" s="14">
        <v>4</v>
      </c>
    </row>
    <row r="188" spans="1:6" x14ac:dyDescent="0.3">
      <c r="A188" s="14">
        <v>187</v>
      </c>
      <c r="B188" s="14" t="s">
        <v>543</v>
      </c>
      <c r="C188" s="14">
        <v>15</v>
      </c>
      <c r="D188" s="14" t="str">
        <f>IFERROR(INDEX(Teams!$B$2:$B$49,MATCH($C188,Teams!$A$2:$A$49,0)),"")</f>
        <v>Cabo Verde</v>
      </c>
      <c r="E188" s="14" t="s">
        <v>356</v>
      </c>
      <c r="F188" s="14">
        <v>5</v>
      </c>
    </row>
    <row r="189" spans="1:6" x14ac:dyDescent="0.3">
      <c r="A189" s="14">
        <v>188</v>
      </c>
      <c r="B189" s="14" t="s">
        <v>544</v>
      </c>
      <c r="C189" s="14">
        <v>15</v>
      </c>
      <c r="D189" s="14" t="str">
        <f>IFERROR(INDEX(Teams!$B$2:$B$49,MATCH($C189,Teams!$A$2:$A$49,0)),"")</f>
        <v>Cabo Verde</v>
      </c>
      <c r="E189" s="14" t="s">
        <v>361</v>
      </c>
      <c r="F189" s="14">
        <v>6</v>
      </c>
    </row>
    <row r="190" spans="1:6" x14ac:dyDescent="0.3">
      <c r="A190" s="14">
        <v>189</v>
      </c>
      <c r="B190" s="14" t="s">
        <v>545</v>
      </c>
      <c r="C190" s="14">
        <v>15</v>
      </c>
      <c r="D190" s="14" t="str">
        <f>IFERROR(INDEX(Teams!$B$2:$B$49,MATCH($C190,Teams!$A$2:$A$49,0)),"")</f>
        <v>Cabo Verde</v>
      </c>
      <c r="E190" s="14" t="s">
        <v>361</v>
      </c>
      <c r="F190" s="14">
        <v>7</v>
      </c>
    </row>
    <row r="191" spans="1:6" x14ac:dyDescent="0.3">
      <c r="A191" s="14">
        <v>190</v>
      </c>
      <c r="B191" s="14" t="s">
        <v>546</v>
      </c>
      <c r="C191" s="14">
        <v>15</v>
      </c>
      <c r="D191" s="14" t="str">
        <f>IFERROR(INDEX(Teams!$B$2:$B$49,MATCH($C191,Teams!$A$2:$A$49,0)),"")</f>
        <v>Cabo Verde</v>
      </c>
      <c r="E191" s="14" t="s">
        <v>361</v>
      </c>
      <c r="F191" s="14">
        <v>8</v>
      </c>
    </row>
    <row r="192" spans="1:6" x14ac:dyDescent="0.3">
      <c r="A192" s="14">
        <v>191</v>
      </c>
      <c r="B192" s="14" t="s">
        <v>547</v>
      </c>
      <c r="C192" s="14">
        <v>15</v>
      </c>
      <c r="D192" s="14" t="str">
        <f>IFERROR(INDEX(Teams!$B$2:$B$49,MATCH($C192,Teams!$A$2:$A$49,0)),"")</f>
        <v>Cabo Verde</v>
      </c>
      <c r="E192" s="14" t="s">
        <v>363</v>
      </c>
      <c r="F192" s="14">
        <v>9</v>
      </c>
    </row>
    <row r="193" spans="1:6" x14ac:dyDescent="0.3">
      <c r="A193" s="14">
        <v>192</v>
      </c>
      <c r="B193" s="14" t="s">
        <v>548</v>
      </c>
      <c r="C193" s="14">
        <v>15</v>
      </c>
      <c r="D193" s="14" t="str">
        <f>IFERROR(INDEX(Teams!$B$2:$B$49,MATCH($C193,Teams!$A$2:$A$49,0)),"")</f>
        <v>Cabo Verde</v>
      </c>
      <c r="E193" s="14" t="s">
        <v>361</v>
      </c>
      <c r="F193" s="14">
        <v>10</v>
      </c>
    </row>
    <row r="194" spans="1:6" x14ac:dyDescent="0.3">
      <c r="A194" s="14">
        <v>193</v>
      </c>
      <c r="B194" s="14" t="s">
        <v>549</v>
      </c>
      <c r="C194" s="14">
        <v>15</v>
      </c>
      <c r="D194" s="14" t="str">
        <f>IFERROR(INDEX(Teams!$B$2:$B$49,MATCH($C194,Teams!$A$2:$A$49,0)),"")</f>
        <v>Cabo Verde</v>
      </c>
      <c r="E194" s="14" t="s">
        <v>361</v>
      </c>
      <c r="F194" s="14">
        <v>11</v>
      </c>
    </row>
    <row r="195" spans="1:6" x14ac:dyDescent="0.3">
      <c r="A195" s="14">
        <v>194</v>
      </c>
      <c r="B195" s="14" t="s">
        <v>550</v>
      </c>
      <c r="C195" s="14">
        <v>15</v>
      </c>
      <c r="D195" s="14" t="str">
        <f>IFERROR(INDEX(Teams!$B$2:$B$49,MATCH($C195,Teams!$A$2:$A$49,0)),"")</f>
        <v>Cabo Verde</v>
      </c>
      <c r="E195" s="14" t="s">
        <v>354</v>
      </c>
      <c r="F195" s="14">
        <v>12</v>
      </c>
    </row>
    <row r="196" spans="1:6" x14ac:dyDescent="0.3">
      <c r="A196" s="14">
        <v>195</v>
      </c>
      <c r="B196" s="14" t="s">
        <v>551</v>
      </c>
      <c r="C196" s="14">
        <v>15</v>
      </c>
      <c r="D196" s="14" t="str">
        <f>IFERROR(INDEX(Teams!$B$2:$B$49,MATCH($C196,Teams!$A$2:$A$49,0)),"")</f>
        <v>Cabo Verde</v>
      </c>
      <c r="E196" s="14" t="s">
        <v>356</v>
      </c>
      <c r="F196" s="14">
        <v>13</v>
      </c>
    </row>
    <row r="197" spans="1:6" x14ac:dyDescent="0.3">
      <c r="A197" s="14">
        <v>196</v>
      </c>
      <c r="B197" s="14" t="s">
        <v>552</v>
      </c>
      <c r="C197" s="14">
        <v>15</v>
      </c>
      <c r="D197" s="14" t="str">
        <f>IFERROR(INDEX(Teams!$B$2:$B$49,MATCH($C197,Teams!$A$2:$A$49,0)),"")</f>
        <v>Cabo Verde</v>
      </c>
      <c r="E197" s="14" t="s">
        <v>361</v>
      </c>
      <c r="F197" s="14">
        <v>14</v>
      </c>
    </row>
    <row r="198" spans="1:6" x14ac:dyDescent="0.3">
      <c r="A198" s="14">
        <v>197</v>
      </c>
      <c r="B198" s="14" t="s">
        <v>553</v>
      </c>
      <c r="C198" s="14">
        <v>15</v>
      </c>
      <c r="D198" s="14" t="str">
        <f>IFERROR(INDEX(Teams!$B$2:$B$49,MATCH($C198,Teams!$A$2:$A$49,0)),"")</f>
        <v>Cabo Verde</v>
      </c>
      <c r="E198" s="14" t="s">
        <v>361</v>
      </c>
      <c r="F198" s="14">
        <v>15</v>
      </c>
    </row>
    <row r="199" spans="1:6" x14ac:dyDescent="0.3">
      <c r="A199" s="14">
        <v>198</v>
      </c>
      <c r="B199" s="14" t="s">
        <v>554</v>
      </c>
      <c r="C199" s="14">
        <v>15</v>
      </c>
      <c r="D199" s="14" t="str">
        <f>IFERROR(INDEX(Teams!$B$2:$B$49,MATCH($C199,Teams!$A$2:$A$49,0)),"")</f>
        <v>Cabo Verde</v>
      </c>
      <c r="E199" s="14" t="s">
        <v>361</v>
      </c>
      <c r="F199" s="14">
        <v>16</v>
      </c>
    </row>
    <row r="200" spans="1:6" x14ac:dyDescent="0.3">
      <c r="A200" s="14">
        <v>199</v>
      </c>
      <c r="B200" s="14" t="s">
        <v>555</v>
      </c>
      <c r="C200" s="14">
        <v>15</v>
      </c>
      <c r="D200" s="14" t="str">
        <f>IFERROR(INDEX(Teams!$B$2:$B$49,MATCH($C200,Teams!$A$2:$A$49,0)),"")</f>
        <v>Cabo Verde</v>
      </c>
      <c r="E200" s="14" t="s">
        <v>361</v>
      </c>
      <c r="F200" s="14">
        <v>17</v>
      </c>
    </row>
    <row r="201" spans="1:6" x14ac:dyDescent="0.3">
      <c r="A201" s="14">
        <v>200</v>
      </c>
      <c r="B201" s="14" t="s">
        <v>556</v>
      </c>
      <c r="C201" s="14">
        <v>15</v>
      </c>
      <c r="D201" s="14" t="str">
        <f>IFERROR(INDEX(Teams!$B$2:$B$49,MATCH($C201,Teams!$A$2:$A$49,0)),"")</f>
        <v>Cabo Verde</v>
      </c>
      <c r="E201" s="14" t="s">
        <v>361</v>
      </c>
      <c r="F201" s="14">
        <v>18</v>
      </c>
    </row>
    <row r="202" spans="1:6" x14ac:dyDescent="0.3">
      <c r="A202" s="14">
        <v>201</v>
      </c>
      <c r="B202" s="14" t="s">
        <v>557</v>
      </c>
      <c r="C202" s="14">
        <v>15</v>
      </c>
      <c r="D202" s="14" t="str">
        <f>IFERROR(INDEX(Teams!$B$2:$B$49,MATCH($C202,Teams!$A$2:$A$49,0)),"")</f>
        <v>Cabo Verde</v>
      </c>
      <c r="E202" s="14" t="s">
        <v>363</v>
      </c>
      <c r="F202" s="14">
        <v>19</v>
      </c>
    </row>
    <row r="203" spans="1:6" x14ac:dyDescent="0.3">
      <c r="A203" s="14">
        <v>202</v>
      </c>
      <c r="B203" s="14" t="s">
        <v>558</v>
      </c>
      <c r="C203" s="14">
        <v>15</v>
      </c>
      <c r="D203" s="14" t="str">
        <f>IFERROR(INDEX(Teams!$B$2:$B$49,MATCH($C203,Teams!$A$2:$A$49,0)),"")</f>
        <v>Cabo Verde</v>
      </c>
      <c r="E203" s="14" t="s">
        <v>363</v>
      </c>
      <c r="F203" s="14">
        <v>20</v>
      </c>
    </row>
    <row r="204" spans="1:6" x14ac:dyDescent="0.3">
      <c r="A204" s="14">
        <v>203</v>
      </c>
      <c r="B204" s="14" t="s">
        <v>559</v>
      </c>
      <c r="C204" s="14">
        <v>15</v>
      </c>
      <c r="D204" s="14" t="str">
        <f>IFERROR(INDEX(Teams!$B$2:$B$49,MATCH($C204,Teams!$A$2:$A$49,0)),"")</f>
        <v>Cabo Verde</v>
      </c>
      <c r="E204" s="14" t="s">
        <v>361</v>
      </c>
      <c r="F204" s="14">
        <v>21</v>
      </c>
    </row>
    <row r="205" spans="1:6" x14ac:dyDescent="0.3">
      <c r="A205" s="14">
        <v>204</v>
      </c>
      <c r="B205" s="14" t="s">
        <v>560</v>
      </c>
      <c r="C205" s="14">
        <v>15</v>
      </c>
      <c r="D205" s="14" t="str">
        <f>IFERROR(INDEX(Teams!$B$2:$B$49,MATCH($C205,Teams!$A$2:$A$49,0)),"")</f>
        <v>Cabo Verde</v>
      </c>
      <c r="E205" s="14" t="s">
        <v>356</v>
      </c>
      <c r="F205" s="14">
        <v>22</v>
      </c>
    </row>
    <row r="206" spans="1:6" x14ac:dyDescent="0.3">
      <c r="A206" s="14">
        <v>205</v>
      </c>
      <c r="B206" s="14" t="s">
        <v>561</v>
      </c>
      <c r="C206" s="14">
        <v>15</v>
      </c>
      <c r="D206" s="14" t="str">
        <f>IFERROR(INDEX(Teams!$B$2:$B$49,MATCH($C206,Teams!$A$2:$A$49,0)),"")</f>
        <v>Cabo Verde</v>
      </c>
      <c r="E206" s="14" t="s">
        <v>354</v>
      </c>
      <c r="F206" s="14">
        <v>23</v>
      </c>
    </row>
    <row r="207" spans="1:6" x14ac:dyDescent="0.3">
      <c r="A207" s="14">
        <v>206</v>
      </c>
      <c r="B207" s="14" t="s">
        <v>562</v>
      </c>
      <c r="C207" s="14">
        <v>15</v>
      </c>
      <c r="D207" s="14" t="str">
        <f>IFERROR(INDEX(Teams!$B$2:$B$49,MATCH($C207,Teams!$A$2:$A$49,0)),"")</f>
        <v>Cabo Verde</v>
      </c>
      <c r="E207" s="14" t="s">
        <v>356</v>
      </c>
      <c r="F207" s="14">
        <v>24</v>
      </c>
    </row>
    <row r="208" spans="1:6" x14ac:dyDescent="0.3">
      <c r="A208" s="14">
        <v>207</v>
      </c>
      <c r="B208" s="14" t="s">
        <v>563</v>
      </c>
      <c r="C208" s="14">
        <v>15</v>
      </c>
      <c r="D208" s="14" t="str">
        <f>IFERROR(INDEX(Teams!$B$2:$B$49,MATCH($C208,Teams!$A$2:$A$49,0)),"")</f>
        <v>Cabo Verde</v>
      </c>
      <c r="E208" s="14" t="s">
        <v>356</v>
      </c>
      <c r="F208" s="14">
        <v>25</v>
      </c>
    </row>
    <row r="209" spans="1:6" x14ac:dyDescent="0.3">
      <c r="A209" s="14">
        <v>208</v>
      </c>
      <c r="B209" s="14" t="s">
        <v>564</v>
      </c>
      <c r="C209" s="14">
        <v>15</v>
      </c>
      <c r="D209" s="14" t="str">
        <f>IFERROR(INDEX(Teams!$B$2:$B$49,MATCH($C209,Teams!$A$2:$A$49,0)),"")</f>
        <v>Cabo Verde</v>
      </c>
      <c r="E209" s="14" t="s">
        <v>361</v>
      </c>
      <c r="F209" s="14">
        <v>26</v>
      </c>
    </row>
    <row r="210" spans="1:6" x14ac:dyDescent="0.3">
      <c r="A210" s="14">
        <v>209</v>
      </c>
      <c r="B210" s="14" t="s">
        <v>565</v>
      </c>
      <c r="C210" s="14">
        <v>16</v>
      </c>
      <c r="D210" s="14" t="str">
        <f>IFERROR(INDEX(Teams!$B$2:$B$49,MATCH($C210,Teams!$A$2:$A$49,0)),"")</f>
        <v>Canada</v>
      </c>
      <c r="E210" s="14" t="s">
        <v>354</v>
      </c>
      <c r="F210" s="14">
        <v>1</v>
      </c>
    </row>
    <row r="211" spans="1:6" x14ac:dyDescent="0.3">
      <c r="A211" s="14">
        <v>210</v>
      </c>
      <c r="B211" s="14" t="s">
        <v>566</v>
      </c>
      <c r="C211" s="14">
        <v>16</v>
      </c>
      <c r="D211" s="14" t="str">
        <f>IFERROR(INDEX(Teams!$B$2:$B$49,MATCH($C211,Teams!$A$2:$A$49,0)),"")</f>
        <v>Canada</v>
      </c>
      <c r="E211" s="14" t="s">
        <v>356</v>
      </c>
      <c r="F211" s="14">
        <v>2</v>
      </c>
    </row>
    <row r="212" spans="1:6" x14ac:dyDescent="0.3">
      <c r="A212" s="14">
        <v>211</v>
      </c>
      <c r="B212" s="14" t="s">
        <v>567</v>
      </c>
      <c r="C212" s="14">
        <v>16</v>
      </c>
      <c r="D212" s="14" t="str">
        <f>IFERROR(INDEX(Teams!$B$2:$B$49,MATCH($C212,Teams!$A$2:$A$49,0)),"")</f>
        <v>Canada</v>
      </c>
      <c r="E212" s="14" t="s">
        <v>356</v>
      </c>
      <c r="F212" s="14">
        <v>3</v>
      </c>
    </row>
    <row r="213" spans="1:6" x14ac:dyDescent="0.3">
      <c r="A213" s="14">
        <v>212</v>
      </c>
      <c r="B213" s="14" t="s">
        <v>568</v>
      </c>
      <c r="C213" s="14">
        <v>16</v>
      </c>
      <c r="D213" s="14" t="str">
        <f>IFERROR(INDEX(Teams!$B$2:$B$49,MATCH($C213,Teams!$A$2:$A$49,0)),"")</f>
        <v>Canada</v>
      </c>
      <c r="E213" s="14" t="s">
        <v>356</v>
      </c>
      <c r="F213" s="14">
        <v>4</v>
      </c>
    </row>
    <row r="214" spans="1:6" x14ac:dyDescent="0.3">
      <c r="A214" s="14">
        <v>213</v>
      </c>
      <c r="B214" s="14" t="s">
        <v>569</v>
      </c>
      <c r="C214" s="14">
        <v>16</v>
      </c>
      <c r="D214" s="14" t="str">
        <f>IFERROR(INDEX(Teams!$B$2:$B$49,MATCH($C214,Teams!$A$2:$A$49,0)),"")</f>
        <v>Canada</v>
      </c>
      <c r="E214" s="14" t="s">
        <v>356</v>
      </c>
      <c r="F214" s="14">
        <v>5</v>
      </c>
    </row>
    <row r="215" spans="1:6" x14ac:dyDescent="0.3">
      <c r="A215" s="14">
        <v>214</v>
      </c>
      <c r="B215" s="14" t="s">
        <v>570</v>
      </c>
      <c r="C215" s="14">
        <v>16</v>
      </c>
      <c r="D215" s="14" t="str">
        <f>IFERROR(INDEX(Teams!$B$2:$B$49,MATCH($C215,Teams!$A$2:$A$49,0)),"")</f>
        <v>Canada</v>
      </c>
      <c r="E215" s="14" t="s">
        <v>361</v>
      </c>
      <c r="F215" s="14">
        <v>6</v>
      </c>
    </row>
    <row r="216" spans="1:6" x14ac:dyDescent="0.3">
      <c r="A216" s="14">
        <v>215</v>
      </c>
      <c r="B216" s="14" t="s">
        <v>571</v>
      </c>
      <c r="C216" s="14">
        <v>16</v>
      </c>
      <c r="D216" s="14" t="str">
        <f>IFERROR(INDEX(Teams!$B$2:$B$49,MATCH($C216,Teams!$A$2:$A$49,0)),"")</f>
        <v>Canada</v>
      </c>
      <c r="E216" s="14" t="s">
        <v>361</v>
      </c>
      <c r="F216" s="14">
        <v>7</v>
      </c>
    </row>
    <row r="217" spans="1:6" x14ac:dyDescent="0.3">
      <c r="A217" s="14">
        <v>216</v>
      </c>
      <c r="B217" s="14" t="s">
        <v>572</v>
      </c>
      <c r="C217" s="14">
        <v>16</v>
      </c>
      <c r="D217" s="14" t="str">
        <f>IFERROR(INDEX(Teams!$B$2:$B$49,MATCH($C217,Teams!$A$2:$A$49,0)),"")</f>
        <v>Canada</v>
      </c>
      <c r="E217" s="14" t="s">
        <v>361</v>
      </c>
      <c r="F217" s="14">
        <v>8</v>
      </c>
    </row>
    <row r="218" spans="1:6" x14ac:dyDescent="0.3">
      <c r="A218" s="14">
        <v>217</v>
      </c>
      <c r="B218" s="14" t="s">
        <v>573</v>
      </c>
      <c r="C218" s="14">
        <v>16</v>
      </c>
      <c r="D218" s="14" t="str">
        <f>IFERROR(INDEX(Teams!$B$2:$B$49,MATCH($C218,Teams!$A$2:$A$49,0)),"")</f>
        <v>Canada</v>
      </c>
      <c r="E218" s="14" t="s">
        <v>363</v>
      </c>
      <c r="F218" s="14">
        <v>9</v>
      </c>
    </row>
    <row r="219" spans="1:6" x14ac:dyDescent="0.3">
      <c r="A219" s="14">
        <v>218</v>
      </c>
      <c r="B219" s="14" t="s">
        <v>574</v>
      </c>
      <c r="C219" s="14">
        <v>16</v>
      </c>
      <c r="D219" s="14" t="str">
        <f>IFERROR(INDEX(Teams!$B$2:$B$49,MATCH($C219,Teams!$A$2:$A$49,0)),"")</f>
        <v>Canada</v>
      </c>
      <c r="E219" s="14" t="s">
        <v>363</v>
      </c>
      <c r="F219" s="14">
        <v>10</v>
      </c>
    </row>
    <row r="220" spans="1:6" x14ac:dyDescent="0.3">
      <c r="A220" s="14">
        <v>219</v>
      </c>
      <c r="B220" s="14" t="s">
        <v>575</v>
      </c>
      <c r="C220" s="14">
        <v>16</v>
      </c>
      <c r="D220" s="14" t="str">
        <f>IFERROR(INDEX(Teams!$B$2:$B$49,MATCH($C220,Teams!$A$2:$A$49,0)),"")</f>
        <v>Canada</v>
      </c>
      <c r="E220" s="14" t="s">
        <v>361</v>
      </c>
      <c r="F220" s="14">
        <v>11</v>
      </c>
    </row>
    <row r="221" spans="1:6" x14ac:dyDescent="0.3">
      <c r="A221" s="14">
        <v>220</v>
      </c>
      <c r="B221" s="14" t="s">
        <v>576</v>
      </c>
      <c r="C221" s="14">
        <v>16</v>
      </c>
      <c r="D221" s="14" t="str">
        <f>IFERROR(INDEX(Teams!$B$2:$B$49,MATCH($C221,Teams!$A$2:$A$49,0)),"")</f>
        <v>Canada</v>
      </c>
      <c r="E221" s="14" t="s">
        <v>363</v>
      </c>
      <c r="F221" s="14">
        <v>12</v>
      </c>
    </row>
    <row r="222" spans="1:6" x14ac:dyDescent="0.3">
      <c r="A222" s="14">
        <v>221</v>
      </c>
      <c r="B222" s="14" t="s">
        <v>577</v>
      </c>
      <c r="C222" s="14">
        <v>16</v>
      </c>
      <c r="D222" s="14" t="str">
        <f>IFERROR(INDEX(Teams!$B$2:$B$49,MATCH($C222,Teams!$A$2:$A$49,0)),"")</f>
        <v>Canada</v>
      </c>
      <c r="E222" s="14" t="s">
        <v>356</v>
      </c>
      <c r="F222" s="14">
        <v>13</v>
      </c>
    </row>
    <row r="223" spans="1:6" x14ac:dyDescent="0.3">
      <c r="A223" s="14">
        <v>222</v>
      </c>
      <c r="B223" s="14" t="s">
        <v>578</v>
      </c>
      <c r="C223" s="14">
        <v>16</v>
      </c>
      <c r="D223" s="14" t="str">
        <f>IFERROR(INDEX(Teams!$B$2:$B$49,MATCH($C223,Teams!$A$2:$A$49,0)),"")</f>
        <v>Canada</v>
      </c>
      <c r="E223" s="14" t="s">
        <v>361</v>
      </c>
      <c r="F223" s="14">
        <v>14</v>
      </c>
    </row>
    <row r="224" spans="1:6" x14ac:dyDescent="0.3">
      <c r="A224" s="14">
        <v>223</v>
      </c>
      <c r="B224" s="14" t="s">
        <v>579</v>
      </c>
      <c r="C224" s="14">
        <v>16</v>
      </c>
      <c r="D224" s="14" t="str">
        <f>IFERROR(INDEX(Teams!$B$2:$B$49,MATCH($C224,Teams!$A$2:$A$49,0)),"")</f>
        <v>Canada</v>
      </c>
      <c r="E224" s="14" t="s">
        <v>356</v>
      </c>
      <c r="F224" s="14">
        <v>15</v>
      </c>
    </row>
    <row r="225" spans="1:6" x14ac:dyDescent="0.3">
      <c r="A225" s="14">
        <v>224</v>
      </c>
      <c r="B225" s="14" t="s">
        <v>580</v>
      </c>
      <c r="C225" s="14">
        <v>16</v>
      </c>
      <c r="D225" s="14" t="str">
        <f>IFERROR(INDEX(Teams!$B$2:$B$49,MATCH($C225,Teams!$A$2:$A$49,0)),"")</f>
        <v>Canada</v>
      </c>
      <c r="E225" s="14" t="s">
        <v>354</v>
      </c>
      <c r="F225" s="14">
        <v>16</v>
      </c>
    </row>
    <row r="226" spans="1:6" x14ac:dyDescent="0.3">
      <c r="A226" s="14">
        <v>225</v>
      </c>
      <c r="B226" s="14" t="s">
        <v>581</v>
      </c>
      <c r="C226" s="14">
        <v>16</v>
      </c>
      <c r="D226" s="14" t="str">
        <f>IFERROR(INDEX(Teams!$B$2:$B$49,MATCH($C226,Teams!$A$2:$A$49,0)),"")</f>
        <v>Canada</v>
      </c>
      <c r="E226" s="14" t="s">
        <v>363</v>
      </c>
      <c r="F226" s="14">
        <v>17</v>
      </c>
    </row>
    <row r="227" spans="1:6" x14ac:dyDescent="0.3">
      <c r="A227" s="14">
        <v>226</v>
      </c>
      <c r="B227" s="14" t="s">
        <v>582</v>
      </c>
      <c r="C227" s="14">
        <v>16</v>
      </c>
      <c r="D227" s="14" t="str">
        <f>IFERROR(INDEX(Teams!$B$2:$B$49,MATCH($C227,Teams!$A$2:$A$49,0)),"")</f>
        <v>Canada</v>
      </c>
      <c r="E227" s="14" t="s">
        <v>354</v>
      </c>
      <c r="F227" s="14">
        <v>18</v>
      </c>
    </row>
    <row r="228" spans="1:6" x14ac:dyDescent="0.3">
      <c r="A228" s="14">
        <v>227</v>
      </c>
      <c r="B228" s="14" t="s">
        <v>583</v>
      </c>
      <c r="C228" s="14">
        <v>16</v>
      </c>
      <c r="D228" s="14" t="str">
        <f>IFERROR(INDEX(Teams!$B$2:$B$49,MATCH($C228,Teams!$A$2:$A$49,0)),"")</f>
        <v>Canada</v>
      </c>
      <c r="E228" s="14" t="s">
        <v>356</v>
      </c>
      <c r="F228" s="14">
        <v>19</v>
      </c>
    </row>
    <row r="229" spans="1:6" x14ac:dyDescent="0.3">
      <c r="A229" s="14">
        <v>228</v>
      </c>
      <c r="B229" s="14" t="s">
        <v>584</v>
      </c>
      <c r="C229" s="14">
        <v>16</v>
      </c>
      <c r="D229" s="14" t="str">
        <f>IFERROR(INDEX(Teams!$B$2:$B$49,MATCH($C229,Teams!$A$2:$A$49,0)),"")</f>
        <v>Canada</v>
      </c>
      <c r="E229" s="14" t="s">
        <v>363</v>
      </c>
      <c r="F229" s="14">
        <v>20</v>
      </c>
    </row>
    <row r="230" spans="1:6" x14ac:dyDescent="0.3">
      <c r="A230" s="14">
        <v>229</v>
      </c>
      <c r="B230" s="14" t="s">
        <v>585</v>
      </c>
      <c r="C230" s="14">
        <v>16</v>
      </c>
      <c r="D230" s="14" t="str">
        <f>IFERROR(INDEX(Teams!$B$2:$B$49,MATCH($C230,Teams!$A$2:$A$49,0)),"")</f>
        <v>Canada</v>
      </c>
      <c r="E230" s="14" t="s">
        <v>361</v>
      </c>
      <c r="F230" s="14">
        <v>21</v>
      </c>
    </row>
    <row r="231" spans="1:6" x14ac:dyDescent="0.3">
      <c r="A231" s="14">
        <v>230</v>
      </c>
      <c r="B231" s="14" t="s">
        <v>586</v>
      </c>
      <c r="C231" s="14">
        <v>16</v>
      </c>
      <c r="D231" s="14" t="str">
        <f>IFERROR(INDEX(Teams!$B$2:$B$49,MATCH($C231,Teams!$A$2:$A$49,0)),"")</f>
        <v>Canada</v>
      </c>
      <c r="E231" s="14" t="s">
        <v>356</v>
      </c>
      <c r="F231" s="14">
        <v>22</v>
      </c>
    </row>
    <row r="232" spans="1:6" x14ac:dyDescent="0.3">
      <c r="A232" s="14">
        <v>231</v>
      </c>
      <c r="B232" s="14" t="s">
        <v>587</v>
      </c>
      <c r="C232" s="14">
        <v>16</v>
      </c>
      <c r="D232" s="14" t="str">
        <f>IFERROR(INDEX(Teams!$B$2:$B$49,MATCH($C232,Teams!$A$2:$A$49,0)),"")</f>
        <v>Canada</v>
      </c>
      <c r="E232" s="14" t="s">
        <v>356</v>
      </c>
      <c r="F232" s="14">
        <v>23</v>
      </c>
    </row>
    <row r="233" spans="1:6" x14ac:dyDescent="0.3">
      <c r="A233" s="14">
        <v>232</v>
      </c>
      <c r="B233" s="14" t="s">
        <v>588</v>
      </c>
      <c r="C233" s="14">
        <v>16</v>
      </c>
      <c r="D233" s="14" t="str">
        <f>IFERROR(INDEX(Teams!$B$2:$B$49,MATCH($C233,Teams!$A$2:$A$49,0)),"")</f>
        <v>Canada</v>
      </c>
      <c r="E233" s="14" t="s">
        <v>363</v>
      </c>
      <c r="F233" s="14">
        <v>24</v>
      </c>
    </row>
    <row r="234" spans="1:6" x14ac:dyDescent="0.3">
      <c r="A234" s="14">
        <v>233</v>
      </c>
      <c r="B234" s="14" t="s">
        <v>589</v>
      </c>
      <c r="C234" s="14">
        <v>16</v>
      </c>
      <c r="D234" s="14" t="str">
        <f>IFERROR(INDEX(Teams!$B$2:$B$49,MATCH($C234,Teams!$A$2:$A$49,0)),"")</f>
        <v>Canada</v>
      </c>
      <c r="E234" s="14" t="s">
        <v>361</v>
      </c>
      <c r="F234" s="14">
        <v>25</v>
      </c>
    </row>
    <row r="235" spans="1:6" x14ac:dyDescent="0.3">
      <c r="A235" s="14">
        <v>234</v>
      </c>
      <c r="B235" s="14" t="s">
        <v>590</v>
      </c>
      <c r="C235" s="14">
        <v>16</v>
      </c>
      <c r="D235" s="14" t="str">
        <f>IFERROR(INDEX(Teams!$B$2:$B$49,MATCH($C235,Teams!$A$2:$A$49,0)),"")</f>
        <v>Canada</v>
      </c>
      <c r="E235" s="14" t="s">
        <v>363</v>
      </c>
      <c r="F235" s="14">
        <v>26</v>
      </c>
    </row>
    <row r="236" spans="1:6" x14ac:dyDescent="0.3">
      <c r="A236" s="14">
        <v>235</v>
      </c>
      <c r="B236" s="14" t="s">
        <v>591</v>
      </c>
      <c r="C236" s="14">
        <v>4</v>
      </c>
      <c r="D236" s="14" t="str">
        <f>IFERROR(INDEX(Teams!$B$2:$B$49,MATCH($C236,Teams!$A$2:$A$49,0)),"")</f>
        <v>Colombia</v>
      </c>
      <c r="E236" s="14" t="s">
        <v>354</v>
      </c>
      <c r="F236" s="14">
        <v>1</v>
      </c>
    </row>
    <row r="237" spans="1:6" x14ac:dyDescent="0.3">
      <c r="A237" s="14">
        <v>236</v>
      </c>
      <c r="B237" s="14" t="s">
        <v>592</v>
      </c>
      <c r="C237" s="14">
        <v>4</v>
      </c>
      <c r="D237" s="14" t="str">
        <f>IFERROR(INDEX(Teams!$B$2:$B$49,MATCH($C237,Teams!$A$2:$A$49,0)),"")</f>
        <v>Colombia</v>
      </c>
      <c r="E237" s="14" t="s">
        <v>356</v>
      </c>
      <c r="F237" s="14">
        <v>2</v>
      </c>
    </row>
    <row r="238" spans="1:6" x14ac:dyDescent="0.3">
      <c r="A238" s="14">
        <v>237</v>
      </c>
      <c r="B238" s="14" t="s">
        <v>593</v>
      </c>
      <c r="C238" s="14">
        <v>4</v>
      </c>
      <c r="D238" s="14" t="str">
        <f>IFERROR(INDEX(Teams!$B$2:$B$49,MATCH($C238,Teams!$A$2:$A$49,0)),"")</f>
        <v>Colombia</v>
      </c>
      <c r="E238" s="14" t="s">
        <v>356</v>
      </c>
      <c r="F238" s="14">
        <v>3</v>
      </c>
    </row>
    <row r="239" spans="1:6" x14ac:dyDescent="0.3">
      <c r="A239" s="14">
        <v>238</v>
      </c>
      <c r="B239" s="14" t="s">
        <v>594</v>
      </c>
      <c r="C239" s="14">
        <v>4</v>
      </c>
      <c r="D239" s="14" t="str">
        <f>IFERROR(INDEX(Teams!$B$2:$B$49,MATCH($C239,Teams!$A$2:$A$49,0)),"")</f>
        <v>Colombia</v>
      </c>
      <c r="E239" s="14" t="s">
        <v>356</v>
      </c>
      <c r="F239" s="14">
        <v>4</v>
      </c>
    </row>
    <row r="240" spans="1:6" x14ac:dyDescent="0.3">
      <c r="A240" s="14">
        <v>239</v>
      </c>
      <c r="B240" s="14" t="s">
        <v>595</v>
      </c>
      <c r="C240" s="14">
        <v>4</v>
      </c>
      <c r="D240" s="14" t="str">
        <f>IFERROR(INDEX(Teams!$B$2:$B$49,MATCH($C240,Teams!$A$2:$A$49,0)),"")</f>
        <v>Colombia</v>
      </c>
      <c r="E240" s="14" t="s">
        <v>361</v>
      </c>
      <c r="F240" s="14">
        <v>5</v>
      </c>
    </row>
    <row r="241" spans="1:6" x14ac:dyDescent="0.3">
      <c r="A241" s="14">
        <v>240</v>
      </c>
      <c r="B241" s="14" t="s">
        <v>596</v>
      </c>
      <c r="C241" s="14">
        <v>4</v>
      </c>
      <c r="D241" s="14" t="str">
        <f>IFERROR(INDEX(Teams!$B$2:$B$49,MATCH($C241,Teams!$A$2:$A$49,0)),"")</f>
        <v>Colombia</v>
      </c>
      <c r="E241" s="14" t="s">
        <v>361</v>
      </c>
      <c r="F241" s="14">
        <v>6</v>
      </c>
    </row>
    <row r="242" spans="1:6" x14ac:dyDescent="0.3">
      <c r="A242" s="14">
        <v>241</v>
      </c>
      <c r="B242" s="14" t="s">
        <v>597</v>
      </c>
      <c r="C242" s="14">
        <v>4</v>
      </c>
      <c r="D242" s="14" t="str">
        <f>IFERROR(INDEX(Teams!$B$2:$B$49,MATCH($C242,Teams!$A$2:$A$49,0)),"")</f>
        <v>Colombia</v>
      </c>
      <c r="E242" s="14" t="s">
        <v>363</v>
      </c>
      <c r="F242" s="14">
        <v>7</v>
      </c>
    </row>
    <row r="243" spans="1:6" x14ac:dyDescent="0.3">
      <c r="A243" s="14">
        <v>242</v>
      </c>
      <c r="B243" s="14" t="s">
        <v>598</v>
      </c>
      <c r="C243" s="14">
        <v>4</v>
      </c>
      <c r="D243" s="14" t="str">
        <f>IFERROR(INDEX(Teams!$B$2:$B$49,MATCH($C243,Teams!$A$2:$A$49,0)),"")</f>
        <v>Colombia</v>
      </c>
      <c r="E243" s="14" t="s">
        <v>361</v>
      </c>
      <c r="F243" s="14">
        <v>8</v>
      </c>
    </row>
    <row r="244" spans="1:6" x14ac:dyDescent="0.3">
      <c r="A244" s="14">
        <v>243</v>
      </c>
      <c r="B244" s="14" t="s">
        <v>599</v>
      </c>
      <c r="C244" s="14">
        <v>4</v>
      </c>
      <c r="D244" s="14" t="str">
        <f>IFERROR(INDEX(Teams!$B$2:$B$49,MATCH($C244,Teams!$A$2:$A$49,0)),"")</f>
        <v>Colombia</v>
      </c>
      <c r="E244" s="14" t="s">
        <v>363</v>
      </c>
      <c r="F244" s="14">
        <v>9</v>
      </c>
    </row>
    <row r="245" spans="1:6" x14ac:dyDescent="0.3">
      <c r="A245" s="14">
        <v>244</v>
      </c>
      <c r="B245" s="14" t="s">
        <v>600</v>
      </c>
      <c r="C245" s="14">
        <v>4</v>
      </c>
      <c r="D245" s="14" t="str">
        <f>IFERROR(INDEX(Teams!$B$2:$B$49,MATCH($C245,Teams!$A$2:$A$49,0)),"")</f>
        <v>Colombia</v>
      </c>
      <c r="E245" s="14" t="s">
        <v>361</v>
      </c>
      <c r="F245" s="14">
        <v>10</v>
      </c>
    </row>
    <row r="246" spans="1:6" x14ac:dyDescent="0.3">
      <c r="A246" s="14">
        <v>245</v>
      </c>
      <c r="B246" s="14" t="s">
        <v>601</v>
      </c>
      <c r="C246" s="14">
        <v>4</v>
      </c>
      <c r="D246" s="14" t="str">
        <f>IFERROR(INDEX(Teams!$B$2:$B$49,MATCH($C246,Teams!$A$2:$A$49,0)),"")</f>
        <v>Colombia</v>
      </c>
      <c r="E246" s="14" t="s">
        <v>361</v>
      </c>
      <c r="F246" s="14">
        <v>11</v>
      </c>
    </row>
    <row r="247" spans="1:6" x14ac:dyDescent="0.3">
      <c r="A247" s="14">
        <v>246</v>
      </c>
      <c r="B247" s="14" t="s">
        <v>602</v>
      </c>
      <c r="C247" s="14">
        <v>4</v>
      </c>
      <c r="D247" s="14" t="str">
        <f>IFERROR(INDEX(Teams!$B$2:$B$49,MATCH($C247,Teams!$A$2:$A$49,0)),"")</f>
        <v>Colombia</v>
      </c>
      <c r="E247" s="14" t="s">
        <v>354</v>
      </c>
      <c r="F247" s="14">
        <v>12</v>
      </c>
    </row>
    <row r="248" spans="1:6" x14ac:dyDescent="0.3">
      <c r="A248" s="14">
        <v>247</v>
      </c>
      <c r="B248" s="14" t="s">
        <v>603</v>
      </c>
      <c r="C248" s="14">
        <v>4</v>
      </c>
      <c r="D248" s="14" t="str">
        <f>IFERROR(INDEX(Teams!$B$2:$B$49,MATCH($C248,Teams!$A$2:$A$49,0)),"")</f>
        <v>Colombia</v>
      </c>
      <c r="E248" s="14" t="s">
        <v>356</v>
      </c>
      <c r="F248" s="14">
        <v>13</v>
      </c>
    </row>
    <row r="249" spans="1:6" x14ac:dyDescent="0.3">
      <c r="A249" s="14">
        <v>248</v>
      </c>
      <c r="B249" s="14" t="s">
        <v>604</v>
      </c>
      <c r="C249" s="14">
        <v>4</v>
      </c>
      <c r="D249" s="14" t="str">
        <f>IFERROR(INDEX(Teams!$B$2:$B$49,MATCH($C249,Teams!$A$2:$A$49,0)),"")</f>
        <v>Colombia</v>
      </c>
      <c r="E249" s="14" t="s">
        <v>356</v>
      </c>
      <c r="F249" s="14">
        <v>14</v>
      </c>
    </row>
    <row r="250" spans="1:6" x14ac:dyDescent="0.3">
      <c r="A250" s="14">
        <v>249</v>
      </c>
      <c r="B250" s="14" t="s">
        <v>605</v>
      </c>
      <c r="C250" s="14">
        <v>4</v>
      </c>
      <c r="D250" s="14" t="str">
        <f>IFERROR(INDEX(Teams!$B$2:$B$49,MATCH($C250,Teams!$A$2:$A$49,0)),"")</f>
        <v>Colombia</v>
      </c>
      <c r="E250" s="14" t="s">
        <v>361</v>
      </c>
      <c r="F250" s="14">
        <v>15</v>
      </c>
    </row>
    <row r="251" spans="1:6" x14ac:dyDescent="0.3">
      <c r="A251" s="14">
        <v>250</v>
      </c>
      <c r="B251" s="14" t="s">
        <v>606</v>
      </c>
      <c r="C251" s="14">
        <v>4</v>
      </c>
      <c r="D251" s="14" t="str">
        <f>IFERROR(INDEX(Teams!$B$2:$B$49,MATCH($C251,Teams!$A$2:$A$49,0)),"")</f>
        <v>Colombia</v>
      </c>
      <c r="E251" s="14" t="s">
        <v>361</v>
      </c>
      <c r="F251" s="14">
        <v>16</v>
      </c>
    </row>
    <row r="252" spans="1:6" x14ac:dyDescent="0.3">
      <c r="A252" s="14">
        <v>251</v>
      </c>
      <c r="B252" s="14" t="s">
        <v>607</v>
      </c>
      <c r="C252" s="14">
        <v>4</v>
      </c>
      <c r="D252" s="14" t="str">
        <f>IFERROR(INDEX(Teams!$B$2:$B$49,MATCH($C252,Teams!$A$2:$A$49,0)),"")</f>
        <v>Colombia</v>
      </c>
      <c r="E252" s="14" t="s">
        <v>356</v>
      </c>
      <c r="F252" s="14">
        <v>17</v>
      </c>
    </row>
    <row r="253" spans="1:6" x14ac:dyDescent="0.3">
      <c r="A253" s="14">
        <v>252</v>
      </c>
      <c r="B253" s="14" t="s">
        <v>608</v>
      </c>
      <c r="C253" s="14">
        <v>4</v>
      </c>
      <c r="D253" s="14" t="str">
        <f>IFERROR(INDEX(Teams!$B$2:$B$49,MATCH($C253,Teams!$A$2:$A$49,0)),"")</f>
        <v>Colombia</v>
      </c>
      <c r="E253" s="14" t="s">
        <v>356</v>
      </c>
      <c r="F253" s="14">
        <v>18</v>
      </c>
    </row>
    <row r="254" spans="1:6" x14ac:dyDescent="0.3">
      <c r="A254" s="14">
        <v>253</v>
      </c>
      <c r="B254" s="14" t="s">
        <v>609</v>
      </c>
      <c r="C254" s="14">
        <v>4</v>
      </c>
      <c r="D254" s="14" t="str">
        <f>IFERROR(INDEX(Teams!$B$2:$B$49,MATCH($C254,Teams!$A$2:$A$49,0)),"")</f>
        <v>Colombia</v>
      </c>
      <c r="E254" s="14" t="s">
        <v>363</v>
      </c>
      <c r="F254" s="14">
        <v>19</v>
      </c>
    </row>
    <row r="255" spans="1:6" x14ac:dyDescent="0.3">
      <c r="A255" s="14">
        <v>254</v>
      </c>
      <c r="B255" s="14" t="s">
        <v>610</v>
      </c>
      <c r="C255" s="14">
        <v>4</v>
      </c>
      <c r="D255" s="14" t="str">
        <f>IFERROR(INDEX(Teams!$B$2:$B$49,MATCH($C255,Teams!$A$2:$A$49,0)),"")</f>
        <v>Colombia</v>
      </c>
      <c r="E255" s="14" t="s">
        <v>361</v>
      </c>
      <c r="F255" s="14">
        <v>20</v>
      </c>
    </row>
    <row r="256" spans="1:6" x14ac:dyDescent="0.3">
      <c r="A256" s="14">
        <v>255</v>
      </c>
      <c r="B256" s="14" t="s">
        <v>611</v>
      </c>
      <c r="C256" s="14">
        <v>4</v>
      </c>
      <c r="D256" s="14" t="str">
        <f>IFERROR(INDEX(Teams!$B$2:$B$49,MATCH($C256,Teams!$A$2:$A$49,0)),"")</f>
        <v>Colombia</v>
      </c>
      <c r="E256" s="14" t="s">
        <v>363</v>
      </c>
      <c r="F256" s="14">
        <v>21</v>
      </c>
    </row>
    <row r="257" spans="1:6" x14ac:dyDescent="0.3">
      <c r="A257" s="14">
        <v>256</v>
      </c>
      <c r="B257" s="14" t="s">
        <v>612</v>
      </c>
      <c r="C257" s="14">
        <v>4</v>
      </c>
      <c r="D257" s="14" t="str">
        <f>IFERROR(INDEX(Teams!$B$2:$B$49,MATCH($C257,Teams!$A$2:$A$49,0)),"")</f>
        <v>Colombia</v>
      </c>
      <c r="E257" s="14" t="s">
        <v>356</v>
      </c>
      <c r="F257" s="14">
        <v>22</v>
      </c>
    </row>
    <row r="258" spans="1:6" x14ac:dyDescent="0.3">
      <c r="A258" s="14">
        <v>257</v>
      </c>
      <c r="B258" s="14" t="s">
        <v>613</v>
      </c>
      <c r="C258" s="14">
        <v>4</v>
      </c>
      <c r="D258" s="14" t="str">
        <f>IFERROR(INDEX(Teams!$B$2:$B$49,MATCH($C258,Teams!$A$2:$A$49,0)),"")</f>
        <v>Colombia</v>
      </c>
      <c r="E258" s="14" t="s">
        <v>356</v>
      </c>
      <c r="F258" s="14">
        <v>23</v>
      </c>
    </row>
    <row r="259" spans="1:6" x14ac:dyDescent="0.3">
      <c r="A259" s="14">
        <v>258</v>
      </c>
      <c r="B259" s="14" t="s">
        <v>614</v>
      </c>
      <c r="C259" s="14">
        <v>4</v>
      </c>
      <c r="D259" s="14" t="str">
        <f>IFERROR(INDEX(Teams!$B$2:$B$49,MATCH($C259,Teams!$A$2:$A$49,0)),"")</f>
        <v>Colombia</v>
      </c>
      <c r="E259" s="14" t="s">
        <v>354</v>
      </c>
      <c r="F259" s="14">
        <v>24</v>
      </c>
    </row>
    <row r="260" spans="1:6" x14ac:dyDescent="0.3">
      <c r="A260" s="14">
        <v>259</v>
      </c>
      <c r="B260" s="14" t="s">
        <v>615</v>
      </c>
      <c r="C260" s="14">
        <v>4</v>
      </c>
      <c r="D260" s="14" t="str">
        <f>IFERROR(INDEX(Teams!$B$2:$B$49,MATCH($C260,Teams!$A$2:$A$49,0)),"")</f>
        <v>Colombia</v>
      </c>
      <c r="E260" s="14" t="s">
        <v>363</v>
      </c>
      <c r="F260" s="14">
        <v>25</v>
      </c>
    </row>
    <row r="261" spans="1:6" x14ac:dyDescent="0.3">
      <c r="A261" s="14">
        <v>260</v>
      </c>
      <c r="B261" s="14" t="s">
        <v>616</v>
      </c>
      <c r="C261" s="14">
        <v>4</v>
      </c>
      <c r="D261" s="14" t="str">
        <f>IFERROR(INDEX(Teams!$B$2:$B$49,MATCH($C261,Teams!$A$2:$A$49,0)),"")</f>
        <v>Colombia</v>
      </c>
      <c r="E261" s="14" t="s">
        <v>363</v>
      </c>
      <c r="F261" s="14">
        <v>26</v>
      </c>
    </row>
    <row r="262" spans="1:6" x14ac:dyDescent="0.3">
      <c r="A262" s="14">
        <v>261</v>
      </c>
      <c r="B262" s="14" t="s">
        <v>617</v>
      </c>
      <c r="C262" s="14">
        <v>27</v>
      </c>
      <c r="D262" s="14" t="str">
        <f>IFERROR(INDEX(Teams!$B$2:$B$49,MATCH($C262,Teams!$A$2:$A$49,0)),"")</f>
        <v>Congo DR</v>
      </c>
      <c r="E262" s="14" t="s">
        <v>354</v>
      </c>
      <c r="F262" s="14">
        <v>1</v>
      </c>
    </row>
    <row r="263" spans="1:6" x14ac:dyDescent="0.3">
      <c r="A263" s="14">
        <v>262</v>
      </c>
      <c r="B263" s="14" t="s">
        <v>618</v>
      </c>
      <c r="C263" s="14">
        <v>27</v>
      </c>
      <c r="D263" s="14" t="str">
        <f>IFERROR(INDEX(Teams!$B$2:$B$49,MATCH($C263,Teams!$A$2:$A$49,0)),"")</f>
        <v>Congo DR</v>
      </c>
      <c r="E263" s="14" t="s">
        <v>356</v>
      </c>
      <c r="F263" s="14">
        <v>2</v>
      </c>
    </row>
    <row r="264" spans="1:6" x14ac:dyDescent="0.3">
      <c r="A264" s="14">
        <v>263</v>
      </c>
      <c r="B264" s="14" t="s">
        <v>619</v>
      </c>
      <c r="C264" s="14">
        <v>27</v>
      </c>
      <c r="D264" s="14" t="str">
        <f>IFERROR(INDEX(Teams!$B$2:$B$49,MATCH($C264,Teams!$A$2:$A$49,0)),"")</f>
        <v>Congo DR</v>
      </c>
      <c r="E264" s="14" t="s">
        <v>356</v>
      </c>
      <c r="F264" s="14">
        <v>3</v>
      </c>
    </row>
    <row r="265" spans="1:6" x14ac:dyDescent="0.3">
      <c r="A265" s="14">
        <v>264</v>
      </c>
      <c r="B265" s="14" t="s">
        <v>620</v>
      </c>
      <c r="C265" s="14">
        <v>27</v>
      </c>
      <c r="D265" s="14" t="str">
        <f>IFERROR(INDEX(Teams!$B$2:$B$49,MATCH($C265,Teams!$A$2:$A$49,0)),"")</f>
        <v>Congo DR</v>
      </c>
      <c r="E265" s="14" t="s">
        <v>356</v>
      </c>
      <c r="F265" s="14">
        <v>4</v>
      </c>
    </row>
    <row r="266" spans="1:6" x14ac:dyDescent="0.3">
      <c r="A266" s="14">
        <v>265</v>
      </c>
      <c r="B266" s="14" t="s">
        <v>621</v>
      </c>
      <c r="C266" s="14">
        <v>27</v>
      </c>
      <c r="D266" s="14" t="str">
        <f>IFERROR(INDEX(Teams!$B$2:$B$49,MATCH($C266,Teams!$A$2:$A$49,0)),"")</f>
        <v>Congo DR</v>
      </c>
      <c r="E266" s="14" t="s">
        <v>356</v>
      </c>
      <c r="F266" s="14">
        <v>5</v>
      </c>
    </row>
    <row r="267" spans="1:6" x14ac:dyDescent="0.3">
      <c r="A267" s="14">
        <v>266</v>
      </c>
      <c r="B267" s="14" t="s">
        <v>622</v>
      </c>
      <c r="C267" s="14">
        <v>27</v>
      </c>
      <c r="D267" s="14" t="str">
        <f>IFERROR(INDEX(Teams!$B$2:$B$49,MATCH($C267,Teams!$A$2:$A$49,0)),"")</f>
        <v>Congo DR</v>
      </c>
      <c r="E267" s="14" t="s">
        <v>361</v>
      </c>
      <c r="F267" s="14">
        <v>6</v>
      </c>
    </row>
    <row r="268" spans="1:6" x14ac:dyDescent="0.3">
      <c r="A268" s="14">
        <v>267</v>
      </c>
      <c r="B268" s="14" t="s">
        <v>623</v>
      </c>
      <c r="C268" s="14">
        <v>27</v>
      </c>
      <c r="D268" s="14" t="str">
        <f>IFERROR(INDEX(Teams!$B$2:$B$49,MATCH($C268,Teams!$A$2:$A$49,0)),"")</f>
        <v>Congo DR</v>
      </c>
      <c r="E268" s="14" t="s">
        <v>361</v>
      </c>
      <c r="F268" s="14">
        <v>7</v>
      </c>
    </row>
    <row r="269" spans="1:6" x14ac:dyDescent="0.3">
      <c r="A269" s="14">
        <v>268</v>
      </c>
      <c r="B269" s="14" t="s">
        <v>624</v>
      </c>
      <c r="C269" s="14">
        <v>27</v>
      </c>
      <c r="D269" s="14" t="str">
        <f>IFERROR(INDEX(Teams!$B$2:$B$49,MATCH($C269,Teams!$A$2:$A$49,0)),"")</f>
        <v>Congo DR</v>
      </c>
      <c r="E269" s="14" t="s">
        <v>361</v>
      </c>
      <c r="F269" s="14">
        <v>8</v>
      </c>
    </row>
    <row r="270" spans="1:6" x14ac:dyDescent="0.3">
      <c r="A270" s="14">
        <v>269</v>
      </c>
      <c r="B270" s="14" t="s">
        <v>625</v>
      </c>
      <c r="C270" s="14">
        <v>27</v>
      </c>
      <c r="D270" s="14" t="str">
        <f>IFERROR(INDEX(Teams!$B$2:$B$49,MATCH($C270,Teams!$A$2:$A$49,0)),"")</f>
        <v>Congo DR</v>
      </c>
      <c r="E270" s="14" t="s">
        <v>363</v>
      </c>
      <c r="F270" s="14">
        <v>9</v>
      </c>
    </row>
    <row r="271" spans="1:6" x14ac:dyDescent="0.3">
      <c r="A271" s="14">
        <v>270</v>
      </c>
      <c r="B271" s="14" t="s">
        <v>626</v>
      </c>
      <c r="C271" s="14">
        <v>27</v>
      </c>
      <c r="D271" s="14" t="str">
        <f>IFERROR(INDEX(Teams!$B$2:$B$49,MATCH($C271,Teams!$A$2:$A$49,0)),"")</f>
        <v>Congo DR</v>
      </c>
      <c r="E271" s="14" t="s">
        <v>361</v>
      </c>
      <c r="F271" s="14">
        <v>10</v>
      </c>
    </row>
    <row r="272" spans="1:6" x14ac:dyDescent="0.3">
      <c r="A272" s="14">
        <v>271</v>
      </c>
      <c r="B272" s="14" t="s">
        <v>627</v>
      </c>
      <c r="C272" s="14">
        <v>27</v>
      </c>
      <c r="D272" s="14" t="str">
        <f>IFERROR(INDEX(Teams!$B$2:$B$49,MATCH($C272,Teams!$A$2:$A$49,0)),"")</f>
        <v>Congo DR</v>
      </c>
      <c r="E272" s="14" t="s">
        <v>363</v>
      </c>
      <c r="F272" s="14">
        <v>11</v>
      </c>
    </row>
    <row r="273" spans="1:6" x14ac:dyDescent="0.3">
      <c r="A273" s="14">
        <v>272</v>
      </c>
      <c r="B273" s="14" t="s">
        <v>628</v>
      </c>
      <c r="C273" s="14">
        <v>27</v>
      </c>
      <c r="D273" s="14" t="str">
        <f>IFERROR(INDEX(Teams!$B$2:$B$49,MATCH($C273,Teams!$A$2:$A$49,0)),"")</f>
        <v>Congo DR</v>
      </c>
      <c r="E273" s="14" t="s">
        <v>356</v>
      </c>
      <c r="F273" s="14">
        <v>12</v>
      </c>
    </row>
    <row r="274" spans="1:6" x14ac:dyDescent="0.3">
      <c r="A274" s="14">
        <v>273</v>
      </c>
      <c r="B274" s="14" t="s">
        <v>629</v>
      </c>
      <c r="C274" s="14">
        <v>27</v>
      </c>
      <c r="D274" s="14" t="str">
        <f>IFERROR(INDEX(Teams!$B$2:$B$49,MATCH($C274,Teams!$A$2:$A$49,0)),"")</f>
        <v>Congo DR</v>
      </c>
      <c r="E274" s="14" t="s">
        <v>363</v>
      </c>
      <c r="F274" s="14">
        <v>13</v>
      </c>
    </row>
    <row r="275" spans="1:6" x14ac:dyDescent="0.3">
      <c r="A275" s="14">
        <v>274</v>
      </c>
      <c r="B275" s="14" t="s">
        <v>630</v>
      </c>
      <c r="C275" s="14">
        <v>27</v>
      </c>
      <c r="D275" s="14" t="str">
        <f>IFERROR(INDEX(Teams!$B$2:$B$49,MATCH($C275,Teams!$A$2:$A$49,0)),"")</f>
        <v>Congo DR</v>
      </c>
      <c r="E275" s="14" t="s">
        <v>361</v>
      </c>
      <c r="F275" s="14">
        <v>14</v>
      </c>
    </row>
    <row r="276" spans="1:6" x14ac:dyDescent="0.3">
      <c r="A276" s="14">
        <v>275</v>
      </c>
      <c r="B276" s="14" t="s">
        <v>631</v>
      </c>
      <c r="C276" s="14">
        <v>27</v>
      </c>
      <c r="D276" s="14" t="str">
        <f>IFERROR(INDEX(Teams!$B$2:$B$49,MATCH($C276,Teams!$A$2:$A$49,0)),"")</f>
        <v>Congo DR</v>
      </c>
      <c r="E276" s="14" t="s">
        <v>361</v>
      </c>
      <c r="F276" s="14">
        <v>15</v>
      </c>
    </row>
    <row r="277" spans="1:6" x14ac:dyDescent="0.3">
      <c r="A277" s="14">
        <v>276</v>
      </c>
      <c r="B277" s="14" t="s">
        <v>632</v>
      </c>
      <c r="C277" s="14">
        <v>27</v>
      </c>
      <c r="D277" s="14" t="str">
        <f>IFERROR(INDEX(Teams!$B$2:$B$49,MATCH($C277,Teams!$A$2:$A$49,0)),"")</f>
        <v>Congo DR</v>
      </c>
      <c r="E277" s="14" t="s">
        <v>354</v>
      </c>
      <c r="F277" s="14">
        <v>16</v>
      </c>
    </row>
    <row r="278" spans="1:6" x14ac:dyDescent="0.3">
      <c r="A278" s="14">
        <v>277</v>
      </c>
      <c r="B278" s="14" t="s">
        <v>633</v>
      </c>
      <c r="C278" s="14">
        <v>27</v>
      </c>
      <c r="D278" s="14" t="str">
        <f>IFERROR(INDEX(Teams!$B$2:$B$49,MATCH($C278,Teams!$A$2:$A$49,0)),"")</f>
        <v>Congo DR</v>
      </c>
      <c r="E278" s="14" t="s">
        <v>363</v>
      </c>
      <c r="F278" s="14">
        <v>17</v>
      </c>
    </row>
    <row r="279" spans="1:6" x14ac:dyDescent="0.3">
      <c r="A279" s="14">
        <v>278</v>
      </c>
      <c r="B279" s="14" t="s">
        <v>634</v>
      </c>
      <c r="C279" s="14">
        <v>27</v>
      </c>
      <c r="D279" s="14" t="str">
        <f>IFERROR(INDEX(Teams!$B$2:$B$49,MATCH($C279,Teams!$A$2:$A$49,0)),"")</f>
        <v>Congo DR</v>
      </c>
      <c r="E279" s="14" t="s">
        <v>361</v>
      </c>
      <c r="F279" s="14">
        <v>18</v>
      </c>
    </row>
    <row r="280" spans="1:6" x14ac:dyDescent="0.3">
      <c r="A280" s="14">
        <v>279</v>
      </c>
      <c r="B280" s="14" t="s">
        <v>635</v>
      </c>
      <c r="C280" s="14">
        <v>27</v>
      </c>
      <c r="D280" s="14" t="str">
        <f>IFERROR(INDEX(Teams!$B$2:$B$49,MATCH($C280,Teams!$A$2:$A$49,0)),"")</f>
        <v>Congo DR</v>
      </c>
      <c r="E280" s="14" t="s">
        <v>363</v>
      </c>
      <c r="F280" s="14">
        <v>19</v>
      </c>
    </row>
    <row r="281" spans="1:6" x14ac:dyDescent="0.3">
      <c r="A281" s="14">
        <v>280</v>
      </c>
      <c r="B281" s="14" t="s">
        <v>636</v>
      </c>
      <c r="C281" s="14">
        <v>27</v>
      </c>
      <c r="D281" s="14" t="str">
        <f>IFERROR(INDEX(Teams!$B$2:$B$49,MATCH($C281,Teams!$A$2:$A$49,0)),"")</f>
        <v>Congo DR</v>
      </c>
      <c r="E281" s="14" t="s">
        <v>363</v>
      </c>
      <c r="F281" s="14">
        <v>20</v>
      </c>
    </row>
    <row r="282" spans="1:6" x14ac:dyDescent="0.3">
      <c r="A282" s="14">
        <v>281</v>
      </c>
      <c r="B282" s="14" t="s">
        <v>637</v>
      </c>
      <c r="C282" s="14">
        <v>27</v>
      </c>
      <c r="D282" s="14" t="str">
        <f>IFERROR(INDEX(Teams!$B$2:$B$49,MATCH($C282,Teams!$A$2:$A$49,0)),"")</f>
        <v>Congo DR</v>
      </c>
      <c r="E282" s="14" t="s">
        <v>354</v>
      </c>
      <c r="F282" s="14">
        <v>21</v>
      </c>
    </row>
    <row r="283" spans="1:6" x14ac:dyDescent="0.3">
      <c r="A283" s="14">
        <v>282</v>
      </c>
      <c r="B283" s="14" t="s">
        <v>638</v>
      </c>
      <c r="C283" s="14">
        <v>27</v>
      </c>
      <c r="D283" s="14" t="str">
        <f>IFERROR(INDEX(Teams!$B$2:$B$49,MATCH($C283,Teams!$A$2:$A$49,0)),"")</f>
        <v>Congo DR</v>
      </c>
      <c r="E283" s="14" t="s">
        <v>356</v>
      </c>
      <c r="F283" s="14">
        <v>22</v>
      </c>
    </row>
    <row r="284" spans="1:6" x14ac:dyDescent="0.3">
      <c r="A284" s="14">
        <v>283</v>
      </c>
      <c r="B284" s="14" t="s">
        <v>639</v>
      </c>
      <c r="C284" s="14">
        <v>27</v>
      </c>
      <c r="D284" s="14" t="str">
        <f>IFERROR(INDEX(Teams!$B$2:$B$49,MATCH($C284,Teams!$A$2:$A$49,0)),"")</f>
        <v>Congo DR</v>
      </c>
      <c r="E284" s="14" t="s">
        <v>363</v>
      </c>
      <c r="F284" s="14">
        <v>23</v>
      </c>
    </row>
    <row r="285" spans="1:6" x14ac:dyDescent="0.3">
      <c r="A285" s="14">
        <v>284</v>
      </c>
      <c r="B285" s="14" t="s">
        <v>640</v>
      </c>
      <c r="C285" s="14">
        <v>27</v>
      </c>
      <c r="D285" s="14" t="str">
        <f>IFERROR(INDEX(Teams!$B$2:$B$49,MATCH($C285,Teams!$A$2:$A$49,0)),"")</f>
        <v>Congo DR</v>
      </c>
      <c r="E285" s="14" t="s">
        <v>356</v>
      </c>
      <c r="F285" s="14">
        <v>24</v>
      </c>
    </row>
    <row r="286" spans="1:6" x14ac:dyDescent="0.3">
      <c r="A286" s="14">
        <v>285</v>
      </c>
      <c r="B286" s="14" t="s">
        <v>641</v>
      </c>
      <c r="C286" s="14">
        <v>27</v>
      </c>
      <c r="D286" s="14" t="str">
        <f>IFERROR(INDEX(Teams!$B$2:$B$49,MATCH($C286,Teams!$A$2:$A$49,0)),"")</f>
        <v>Congo DR</v>
      </c>
      <c r="E286" s="14" t="s">
        <v>361</v>
      </c>
      <c r="F286" s="14">
        <v>25</v>
      </c>
    </row>
    <row r="287" spans="1:6" x14ac:dyDescent="0.3">
      <c r="A287" s="14">
        <v>286</v>
      </c>
      <c r="B287" s="14" t="s">
        <v>642</v>
      </c>
      <c r="C287" s="14">
        <v>27</v>
      </c>
      <c r="D287" s="14" t="str">
        <f>IFERROR(INDEX(Teams!$B$2:$B$49,MATCH($C287,Teams!$A$2:$A$49,0)),"")</f>
        <v>Congo DR</v>
      </c>
      <c r="E287" s="14" t="s">
        <v>356</v>
      </c>
      <c r="F287" s="14">
        <v>26</v>
      </c>
    </row>
    <row r="288" spans="1:6" x14ac:dyDescent="0.3">
      <c r="A288" s="14">
        <v>287</v>
      </c>
      <c r="B288" s="14" t="s">
        <v>643</v>
      </c>
      <c r="C288" s="14">
        <v>17</v>
      </c>
      <c r="D288" s="14" t="str">
        <f>IFERROR(INDEX(Teams!$B$2:$B$49,MATCH($C288,Teams!$A$2:$A$49,0)),"")</f>
        <v>Côte d'Ivoire</v>
      </c>
      <c r="E288" s="14" t="s">
        <v>354</v>
      </c>
      <c r="F288" s="14">
        <v>1</v>
      </c>
    </row>
    <row r="289" spans="1:6" x14ac:dyDescent="0.3">
      <c r="A289" s="14">
        <v>288</v>
      </c>
      <c r="B289" s="14" t="s">
        <v>644</v>
      </c>
      <c r="C289" s="14">
        <v>17</v>
      </c>
      <c r="D289" s="14" t="str">
        <f>IFERROR(INDEX(Teams!$B$2:$B$49,MATCH($C289,Teams!$A$2:$A$49,0)),"")</f>
        <v>Côte d'Ivoire</v>
      </c>
      <c r="E289" s="14" t="s">
        <v>356</v>
      </c>
      <c r="F289" s="14">
        <v>2</v>
      </c>
    </row>
    <row r="290" spans="1:6" x14ac:dyDescent="0.3">
      <c r="A290" s="14">
        <v>289</v>
      </c>
      <c r="B290" s="14" t="s">
        <v>645</v>
      </c>
      <c r="C290" s="14">
        <v>17</v>
      </c>
      <c r="D290" s="14" t="str">
        <f>IFERROR(INDEX(Teams!$B$2:$B$49,MATCH($C290,Teams!$A$2:$A$49,0)),"")</f>
        <v>Côte d'Ivoire</v>
      </c>
      <c r="E290" s="14" t="s">
        <v>356</v>
      </c>
      <c r="F290" s="14">
        <v>3</v>
      </c>
    </row>
    <row r="291" spans="1:6" x14ac:dyDescent="0.3">
      <c r="A291" s="14">
        <v>290</v>
      </c>
      <c r="B291" s="14" t="s">
        <v>646</v>
      </c>
      <c r="C291" s="14">
        <v>17</v>
      </c>
      <c r="D291" s="14" t="str">
        <f>IFERROR(INDEX(Teams!$B$2:$B$49,MATCH($C291,Teams!$A$2:$A$49,0)),"")</f>
        <v>Côte d'Ivoire</v>
      </c>
      <c r="E291" s="14" t="s">
        <v>361</v>
      </c>
      <c r="F291" s="14">
        <v>4</v>
      </c>
    </row>
    <row r="292" spans="1:6" x14ac:dyDescent="0.3">
      <c r="A292" s="14">
        <v>291</v>
      </c>
      <c r="B292" s="14" t="s">
        <v>647</v>
      </c>
      <c r="C292" s="14">
        <v>17</v>
      </c>
      <c r="D292" s="14" t="str">
        <f>IFERROR(INDEX(Teams!$B$2:$B$49,MATCH($C292,Teams!$A$2:$A$49,0)),"")</f>
        <v>Côte d'Ivoire</v>
      </c>
      <c r="E292" s="14" t="s">
        <v>356</v>
      </c>
      <c r="F292" s="14">
        <v>5</v>
      </c>
    </row>
    <row r="293" spans="1:6" x14ac:dyDescent="0.3">
      <c r="A293" s="14">
        <v>292</v>
      </c>
      <c r="B293" s="14" t="s">
        <v>648</v>
      </c>
      <c r="C293" s="14">
        <v>17</v>
      </c>
      <c r="D293" s="14" t="str">
        <f>IFERROR(INDEX(Teams!$B$2:$B$49,MATCH($C293,Teams!$A$2:$A$49,0)),"")</f>
        <v>Côte d'Ivoire</v>
      </c>
      <c r="E293" s="14" t="s">
        <v>361</v>
      </c>
      <c r="F293" s="14">
        <v>6</v>
      </c>
    </row>
    <row r="294" spans="1:6" x14ac:dyDescent="0.3">
      <c r="A294" s="14">
        <v>293</v>
      </c>
      <c r="B294" s="14" t="s">
        <v>649</v>
      </c>
      <c r="C294" s="14">
        <v>17</v>
      </c>
      <c r="D294" s="14" t="str">
        <f>IFERROR(INDEX(Teams!$B$2:$B$49,MATCH($C294,Teams!$A$2:$A$49,0)),"")</f>
        <v>Côte d'Ivoire</v>
      </c>
      <c r="E294" s="14" t="s">
        <v>356</v>
      </c>
      <c r="F294" s="14">
        <v>7</v>
      </c>
    </row>
    <row r="295" spans="1:6" x14ac:dyDescent="0.3">
      <c r="A295" s="14">
        <v>294</v>
      </c>
      <c r="B295" s="14" t="s">
        <v>650</v>
      </c>
      <c r="C295" s="14">
        <v>17</v>
      </c>
      <c r="D295" s="14" t="str">
        <f>IFERROR(INDEX(Teams!$B$2:$B$49,MATCH($C295,Teams!$A$2:$A$49,0)),"")</f>
        <v>Côte d'Ivoire</v>
      </c>
      <c r="E295" s="14" t="s">
        <v>361</v>
      </c>
      <c r="F295" s="14">
        <v>8</v>
      </c>
    </row>
    <row r="296" spans="1:6" x14ac:dyDescent="0.3">
      <c r="A296" s="14">
        <v>295</v>
      </c>
      <c r="B296" s="14" t="s">
        <v>651</v>
      </c>
      <c r="C296" s="14">
        <v>17</v>
      </c>
      <c r="D296" s="14" t="str">
        <f>IFERROR(INDEX(Teams!$B$2:$B$49,MATCH($C296,Teams!$A$2:$A$49,0)),"")</f>
        <v>Côte d'Ivoire</v>
      </c>
      <c r="E296" s="14" t="s">
        <v>363</v>
      </c>
      <c r="F296" s="14">
        <v>9</v>
      </c>
    </row>
    <row r="297" spans="1:6" x14ac:dyDescent="0.3">
      <c r="A297" s="14">
        <v>296</v>
      </c>
      <c r="B297" s="14" t="s">
        <v>652</v>
      </c>
      <c r="C297" s="14">
        <v>17</v>
      </c>
      <c r="D297" s="14" t="str">
        <f>IFERROR(INDEX(Teams!$B$2:$B$49,MATCH($C297,Teams!$A$2:$A$49,0)),"")</f>
        <v>Côte d'Ivoire</v>
      </c>
      <c r="E297" s="14" t="s">
        <v>363</v>
      </c>
      <c r="F297" s="14">
        <v>10</v>
      </c>
    </row>
    <row r="298" spans="1:6" x14ac:dyDescent="0.3">
      <c r="A298" s="14">
        <v>297</v>
      </c>
      <c r="B298" s="14" t="s">
        <v>653</v>
      </c>
      <c r="C298" s="14">
        <v>17</v>
      </c>
      <c r="D298" s="14" t="str">
        <f>IFERROR(INDEX(Teams!$B$2:$B$49,MATCH($C298,Teams!$A$2:$A$49,0)),"")</f>
        <v>Côte d'Ivoire</v>
      </c>
      <c r="E298" s="14" t="s">
        <v>363</v>
      </c>
      <c r="F298" s="14">
        <v>11</v>
      </c>
    </row>
    <row r="299" spans="1:6" x14ac:dyDescent="0.3">
      <c r="A299" s="14">
        <v>298</v>
      </c>
      <c r="B299" s="14" t="s">
        <v>654</v>
      </c>
      <c r="C299" s="14">
        <v>17</v>
      </c>
      <c r="D299" s="14" t="str">
        <f>IFERROR(INDEX(Teams!$B$2:$B$49,MATCH($C299,Teams!$A$2:$A$49,0)),"")</f>
        <v>Côte d'Ivoire</v>
      </c>
      <c r="E299" s="14" t="s">
        <v>363</v>
      </c>
      <c r="F299" s="14">
        <v>12</v>
      </c>
    </row>
    <row r="300" spans="1:6" x14ac:dyDescent="0.3">
      <c r="A300" s="14">
        <v>299</v>
      </c>
      <c r="B300" s="14" t="s">
        <v>655</v>
      </c>
      <c r="C300" s="14">
        <v>17</v>
      </c>
      <c r="D300" s="14" t="str">
        <f>IFERROR(INDEX(Teams!$B$2:$B$49,MATCH($C300,Teams!$A$2:$A$49,0)),"")</f>
        <v>Côte d'Ivoire</v>
      </c>
      <c r="E300" s="14" t="s">
        <v>356</v>
      </c>
      <c r="F300" s="14">
        <v>13</v>
      </c>
    </row>
    <row r="301" spans="1:6" x14ac:dyDescent="0.3">
      <c r="A301" s="14">
        <v>300</v>
      </c>
      <c r="B301" s="14" t="s">
        <v>656</v>
      </c>
      <c r="C301" s="14">
        <v>17</v>
      </c>
      <c r="D301" s="14" t="str">
        <f>IFERROR(INDEX(Teams!$B$2:$B$49,MATCH($C301,Teams!$A$2:$A$49,0)),"")</f>
        <v>Côte d'Ivoire</v>
      </c>
      <c r="E301" s="14" t="s">
        <v>363</v>
      </c>
      <c r="F301" s="14">
        <v>14</v>
      </c>
    </row>
    <row r="302" spans="1:6" x14ac:dyDescent="0.3">
      <c r="A302" s="14">
        <v>301</v>
      </c>
      <c r="B302" s="14" t="s">
        <v>657</v>
      </c>
      <c r="C302" s="14">
        <v>17</v>
      </c>
      <c r="D302" s="14" t="str">
        <f>IFERROR(INDEX(Teams!$B$2:$B$49,MATCH($C302,Teams!$A$2:$A$49,0)),"")</f>
        <v>Côte d'Ivoire</v>
      </c>
      <c r="E302" s="14" t="s">
        <v>363</v>
      </c>
      <c r="F302" s="14">
        <v>15</v>
      </c>
    </row>
    <row r="303" spans="1:6" x14ac:dyDescent="0.3">
      <c r="A303" s="14">
        <v>302</v>
      </c>
      <c r="B303" s="14" t="s">
        <v>658</v>
      </c>
      <c r="C303" s="14">
        <v>17</v>
      </c>
      <c r="D303" s="14" t="str">
        <f>IFERROR(INDEX(Teams!$B$2:$B$49,MATCH($C303,Teams!$A$2:$A$49,0)),"")</f>
        <v>Côte d'Ivoire</v>
      </c>
      <c r="E303" s="14" t="s">
        <v>354</v>
      </c>
      <c r="F303" s="14">
        <v>16</v>
      </c>
    </row>
    <row r="304" spans="1:6" x14ac:dyDescent="0.3">
      <c r="A304" s="14">
        <v>303</v>
      </c>
      <c r="B304" s="14" t="s">
        <v>659</v>
      </c>
      <c r="C304" s="14">
        <v>17</v>
      </c>
      <c r="D304" s="14" t="str">
        <f>IFERROR(INDEX(Teams!$B$2:$B$49,MATCH($C304,Teams!$A$2:$A$49,0)),"")</f>
        <v>Côte d'Ivoire</v>
      </c>
      <c r="E304" s="14" t="s">
        <v>356</v>
      </c>
      <c r="F304" s="14">
        <v>17</v>
      </c>
    </row>
    <row r="305" spans="1:6" x14ac:dyDescent="0.3">
      <c r="A305" s="14">
        <v>304</v>
      </c>
      <c r="B305" s="14" t="s">
        <v>660</v>
      </c>
      <c r="C305" s="14">
        <v>17</v>
      </c>
      <c r="D305" s="14" t="str">
        <f>IFERROR(INDEX(Teams!$B$2:$B$49,MATCH($C305,Teams!$A$2:$A$49,0)),"")</f>
        <v>Côte d'Ivoire</v>
      </c>
      <c r="E305" s="14" t="s">
        <v>361</v>
      </c>
      <c r="F305" s="14">
        <v>18</v>
      </c>
    </row>
    <row r="306" spans="1:6" x14ac:dyDescent="0.3">
      <c r="A306" s="14">
        <v>305</v>
      </c>
      <c r="B306" s="14" t="s">
        <v>661</v>
      </c>
      <c r="C306" s="14">
        <v>17</v>
      </c>
      <c r="D306" s="14" t="str">
        <f>IFERROR(INDEX(Teams!$B$2:$B$49,MATCH($C306,Teams!$A$2:$A$49,0)),"")</f>
        <v>Côte d'Ivoire</v>
      </c>
      <c r="E306" s="14" t="s">
        <v>363</v>
      </c>
      <c r="F306" s="14">
        <v>19</v>
      </c>
    </row>
    <row r="307" spans="1:6" x14ac:dyDescent="0.3">
      <c r="A307" s="14">
        <v>306</v>
      </c>
      <c r="B307" s="14" t="s">
        <v>662</v>
      </c>
      <c r="C307" s="14">
        <v>17</v>
      </c>
      <c r="D307" s="14" t="str">
        <f>IFERROR(INDEX(Teams!$B$2:$B$49,MATCH($C307,Teams!$A$2:$A$49,0)),"")</f>
        <v>Côte d'Ivoire</v>
      </c>
      <c r="E307" s="14" t="s">
        <v>356</v>
      </c>
      <c r="F307" s="14">
        <v>20</v>
      </c>
    </row>
    <row r="308" spans="1:6" x14ac:dyDescent="0.3">
      <c r="A308" s="14">
        <v>307</v>
      </c>
      <c r="B308" s="14" t="s">
        <v>663</v>
      </c>
      <c r="C308" s="14">
        <v>17</v>
      </c>
      <c r="D308" s="14" t="str">
        <f>IFERROR(INDEX(Teams!$B$2:$B$49,MATCH($C308,Teams!$A$2:$A$49,0)),"")</f>
        <v>Côte d'Ivoire</v>
      </c>
      <c r="E308" s="14" t="s">
        <v>356</v>
      </c>
      <c r="F308" s="14">
        <v>21</v>
      </c>
    </row>
    <row r="309" spans="1:6" x14ac:dyDescent="0.3">
      <c r="A309" s="14">
        <v>308</v>
      </c>
      <c r="B309" s="14" t="s">
        <v>664</v>
      </c>
      <c r="C309" s="14">
        <v>17</v>
      </c>
      <c r="D309" s="14" t="str">
        <f>IFERROR(INDEX(Teams!$B$2:$B$49,MATCH($C309,Teams!$A$2:$A$49,0)),"")</f>
        <v>Côte d'Ivoire</v>
      </c>
      <c r="E309" s="14" t="s">
        <v>363</v>
      </c>
      <c r="F309" s="14">
        <v>22</v>
      </c>
    </row>
    <row r="310" spans="1:6" x14ac:dyDescent="0.3">
      <c r="A310" s="14">
        <v>309</v>
      </c>
      <c r="B310" s="14" t="s">
        <v>665</v>
      </c>
      <c r="C310" s="14">
        <v>17</v>
      </c>
      <c r="D310" s="14" t="str">
        <f>IFERROR(INDEX(Teams!$B$2:$B$49,MATCH($C310,Teams!$A$2:$A$49,0)),"")</f>
        <v>Côte d'Ivoire</v>
      </c>
      <c r="E310" s="14" t="s">
        <v>354</v>
      </c>
      <c r="F310" s="14">
        <v>23</v>
      </c>
    </row>
    <row r="311" spans="1:6" x14ac:dyDescent="0.3">
      <c r="A311" s="14">
        <v>310</v>
      </c>
      <c r="B311" s="14" t="s">
        <v>666</v>
      </c>
      <c r="C311" s="14">
        <v>17</v>
      </c>
      <c r="D311" s="14" t="str">
        <f>IFERROR(INDEX(Teams!$B$2:$B$49,MATCH($C311,Teams!$A$2:$A$49,0)),"")</f>
        <v>Côte d'Ivoire</v>
      </c>
      <c r="E311" s="14" t="s">
        <v>363</v>
      </c>
      <c r="F311" s="14">
        <v>24</v>
      </c>
    </row>
    <row r="312" spans="1:6" x14ac:dyDescent="0.3">
      <c r="A312" s="14">
        <v>311</v>
      </c>
      <c r="B312" s="14" t="s">
        <v>667</v>
      </c>
      <c r="C312" s="14">
        <v>17</v>
      </c>
      <c r="D312" s="14" t="str">
        <f>IFERROR(INDEX(Teams!$B$2:$B$49,MATCH($C312,Teams!$A$2:$A$49,0)),"")</f>
        <v>Côte d'Ivoire</v>
      </c>
      <c r="E312" s="14" t="s">
        <v>361</v>
      </c>
      <c r="F312" s="14">
        <v>25</v>
      </c>
    </row>
    <row r="313" spans="1:6" x14ac:dyDescent="0.3">
      <c r="A313" s="14">
        <v>312</v>
      </c>
      <c r="B313" s="14" t="s">
        <v>668</v>
      </c>
      <c r="C313" s="14">
        <v>17</v>
      </c>
      <c r="D313" s="14" t="str">
        <f>IFERROR(INDEX(Teams!$B$2:$B$49,MATCH($C313,Teams!$A$2:$A$49,0)),"")</f>
        <v>Côte d'Ivoire</v>
      </c>
      <c r="E313" s="14" t="s">
        <v>361</v>
      </c>
      <c r="F313" s="14">
        <v>26</v>
      </c>
    </row>
    <row r="314" spans="1:6" x14ac:dyDescent="0.3">
      <c r="A314" s="14">
        <v>313</v>
      </c>
      <c r="B314" s="14" t="s">
        <v>669</v>
      </c>
      <c r="C314" s="14">
        <v>18</v>
      </c>
      <c r="D314" s="14" t="str">
        <f>IFERROR(INDEX(Teams!$B$2:$B$49,MATCH($C314,Teams!$A$2:$A$49,0)),"")</f>
        <v>Croatia</v>
      </c>
      <c r="E314" s="14" t="s">
        <v>354</v>
      </c>
      <c r="F314" s="14">
        <v>1</v>
      </c>
    </row>
    <row r="315" spans="1:6" x14ac:dyDescent="0.3">
      <c r="A315" s="14">
        <v>314</v>
      </c>
      <c r="B315" s="14" t="s">
        <v>670</v>
      </c>
      <c r="C315" s="14">
        <v>18</v>
      </c>
      <c r="D315" s="14" t="str">
        <f>IFERROR(INDEX(Teams!$B$2:$B$49,MATCH($C315,Teams!$A$2:$A$49,0)),"")</f>
        <v>Croatia</v>
      </c>
      <c r="E315" s="14" t="s">
        <v>356</v>
      </c>
      <c r="F315" s="14">
        <v>2</v>
      </c>
    </row>
    <row r="316" spans="1:6" x14ac:dyDescent="0.3">
      <c r="A316" s="14">
        <v>315</v>
      </c>
      <c r="B316" s="14" t="s">
        <v>671</v>
      </c>
      <c r="C316" s="14">
        <v>18</v>
      </c>
      <c r="D316" s="14" t="str">
        <f>IFERROR(INDEX(Teams!$B$2:$B$49,MATCH($C316,Teams!$A$2:$A$49,0)),"")</f>
        <v>Croatia</v>
      </c>
      <c r="E316" s="14" t="s">
        <v>356</v>
      </c>
      <c r="F316" s="14">
        <v>3</v>
      </c>
    </row>
    <row r="317" spans="1:6" x14ac:dyDescent="0.3">
      <c r="A317" s="14">
        <v>316</v>
      </c>
      <c r="B317" s="14" t="s">
        <v>672</v>
      </c>
      <c r="C317" s="14">
        <v>18</v>
      </c>
      <c r="D317" s="14" t="str">
        <f>IFERROR(INDEX(Teams!$B$2:$B$49,MATCH($C317,Teams!$A$2:$A$49,0)),"")</f>
        <v>Croatia</v>
      </c>
      <c r="E317" s="14" t="s">
        <v>356</v>
      </c>
      <c r="F317" s="14">
        <v>4</v>
      </c>
    </row>
    <row r="318" spans="1:6" x14ac:dyDescent="0.3">
      <c r="A318" s="14">
        <v>317</v>
      </c>
      <c r="B318" s="14" t="s">
        <v>673</v>
      </c>
      <c r="C318" s="14">
        <v>18</v>
      </c>
      <c r="D318" s="14" t="str">
        <f>IFERROR(INDEX(Teams!$B$2:$B$49,MATCH($C318,Teams!$A$2:$A$49,0)),"")</f>
        <v>Croatia</v>
      </c>
      <c r="E318" s="14" t="s">
        <v>356</v>
      </c>
      <c r="F318" s="14">
        <v>5</v>
      </c>
    </row>
    <row r="319" spans="1:6" x14ac:dyDescent="0.3">
      <c r="A319" s="14">
        <v>318</v>
      </c>
      <c r="B319" s="14" t="s">
        <v>674</v>
      </c>
      <c r="C319" s="14">
        <v>18</v>
      </c>
      <c r="D319" s="14" t="str">
        <f>IFERROR(INDEX(Teams!$B$2:$B$49,MATCH($C319,Teams!$A$2:$A$49,0)),"")</f>
        <v>Croatia</v>
      </c>
      <c r="E319" s="14" t="s">
        <v>356</v>
      </c>
      <c r="F319" s="14">
        <v>6</v>
      </c>
    </row>
    <row r="320" spans="1:6" x14ac:dyDescent="0.3">
      <c r="A320" s="14">
        <v>319</v>
      </c>
      <c r="B320" s="14" t="s">
        <v>675</v>
      </c>
      <c r="C320" s="14">
        <v>18</v>
      </c>
      <c r="D320" s="14" t="str">
        <f>IFERROR(INDEX(Teams!$B$2:$B$49,MATCH($C320,Teams!$A$2:$A$49,0)),"")</f>
        <v>Croatia</v>
      </c>
      <c r="E320" s="14" t="s">
        <v>361</v>
      </c>
      <c r="F320" s="14">
        <v>7</v>
      </c>
    </row>
    <row r="321" spans="1:6" x14ac:dyDescent="0.3">
      <c r="A321" s="14">
        <v>320</v>
      </c>
      <c r="B321" s="14" t="s">
        <v>676</v>
      </c>
      <c r="C321" s="14">
        <v>18</v>
      </c>
      <c r="D321" s="14" t="str">
        <f>IFERROR(INDEX(Teams!$B$2:$B$49,MATCH($C321,Teams!$A$2:$A$49,0)),"")</f>
        <v>Croatia</v>
      </c>
      <c r="E321" s="14" t="s">
        <v>361</v>
      </c>
      <c r="F321" s="14">
        <v>8</v>
      </c>
    </row>
    <row r="322" spans="1:6" x14ac:dyDescent="0.3">
      <c r="A322" s="14">
        <v>321</v>
      </c>
      <c r="B322" s="14" t="s">
        <v>677</v>
      </c>
      <c r="C322" s="14">
        <v>18</v>
      </c>
      <c r="D322" s="14" t="str">
        <f>IFERROR(INDEX(Teams!$B$2:$B$49,MATCH($C322,Teams!$A$2:$A$49,0)),"")</f>
        <v>Croatia</v>
      </c>
      <c r="E322" s="14" t="s">
        <v>363</v>
      </c>
      <c r="F322" s="14">
        <v>9</v>
      </c>
    </row>
    <row r="323" spans="1:6" x14ac:dyDescent="0.3">
      <c r="A323" s="14">
        <v>322</v>
      </c>
      <c r="B323" s="14" t="s">
        <v>678</v>
      </c>
      <c r="C323" s="14">
        <v>18</v>
      </c>
      <c r="D323" s="14" t="str">
        <f>IFERROR(INDEX(Teams!$B$2:$B$49,MATCH($C323,Teams!$A$2:$A$49,0)),"")</f>
        <v>Croatia</v>
      </c>
      <c r="E323" s="14" t="s">
        <v>361</v>
      </c>
      <c r="F323" s="14">
        <v>10</v>
      </c>
    </row>
    <row r="324" spans="1:6" x14ac:dyDescent="0.3">
      <c r="A324" s="14">
        <v>323</v>
      </c>
      <c r="B324" s="14" t="s">
        <v>679</v>
      </c>
      <c r="C324" s="14">
        <v>18</v>
      </c>
      <c r="D324" s="14" t="str">
        <f>IFERROR(INDEX(Teams!$B$2:$B$49,MATCH($C324,Teams!$A$2:$A$49,0)),"")</f>
        <v>Croatia</v>
      </c>
      <c r="E324" s="14" t="s">
        <v>363</v>
      </c>
      <c r="F324" s="14">
        <v>11</v>
      </c>
    </row>
    <row r="325" spans="1:6" x14ac:dyDescent="0.3">
      <c r="A325" s="14">
        <v>324</v>
      </c>
      <c r="B325" s="14" t="s">
        <v>680</v>
      </c>
      <c r="C325" s="14">
        <v>18</v>
      </c>
      <c r="D325" s="14" t="str">
        <f>IFERROR(INDEX(Teams!$B$2:$B$49,MATCH($C325,Teams!$A$2:$A$49,0)),"")</f>
        <v>Croatia</v>
      </c>
      <c r="E325" s="14" t="s">
        <v>354</v>
      </c>
      <c r="F325" s="14">
        <v>12</v>
      </c>
    </row>
    <row r="326" spans="1:6" x14ac:dyDescent="0.3">
      <c r="A326" s="14">
        <v>325</v>
      </c>
      <c r="B326" s="14" t="s">
        <v>681</v>
      </c>
      <c r="C326" s="14">
        <v>18</v>
      </c>
      <c r="D326" s="14" t="str">
        <f>IFERROR(INDEX(Teams!$B$2:$B$49,MATCH($C326,Teams!$A$2:$A$49,0)),"")</f>
        <v>Croatia</v>
      </c>
      <c r="E326" s="14" t="s">
        <v>361</v>
      </c>
      <c r="F326" s="14">
        <v>13</v>
      </c>
    </row>
    <row r="327" spans="1:6" x14ac:dyDescent="0.3">
      <c r="A327" s="14">
        <v>326</v>
      </c>
      <c r="B327" s="14" t="s">
        <v>682</v>
      </c>
      <c r="C327" s="14">
        <v>18</v>
      </c>
      <c r="D327" s="14" t="str">
        <f>IFERROR(INDEX(Teams!$B$2:$B$49,MATCH($C327,Teams!$A$2:$A$49,0)),"")</f>
        <v>Croatia</v>
      </c>
      <c r="E327" s="14" t="s">
        <v>363</v>
      </c>
      <c r="F327" s="14">
        <v>14</v>
      </c>
    </row>
    <row r="328" spans="1:6" x14ac:dyDescent="0.3">
      <c r="A328" s="14">
        <v>327</v>
      </c>
      <c r="B328" s="14" t="s">
        <v>683</v>
      </c>
      <c r="C328" s="14">
        <v>18</v>
      </c>
      <c r="D328" s="14" t="str">
        <f>IFERROR(INDEX(Teams!$B$2:$B$49,MATCH($C328,Teams!$A$2:$A$49,0)),"")</f>
        <v>Croatia</v>
      </c>
      <c r="E328" s="14" t="s">
        <v>361</v>
      </c>
      <c r="F328" s="14">
        <v>15</v>
      </c>
    </row>
    <row r="329" spans="1:6" x14ac:dyDescent="0.3">
      <c r="A329" s="14">
        <v>328</v>
      </c>
      <c r="B329" s="14" t="s">
        <v>684</v>
      </c>
      <c r="C329" s="14">
        <v>18</v>
      </c>
      <c r="D329" s="14" t="str">
        <f>IFERROR(INDEX(Teams!$B$2:$B$49,MATCH($C329,Teams!$A$2:$A$49,0)),"")</f>
        <v>Croatia</v>
      </c>
      <c r="E329" s="14" t="s">
        <v>361</v>
      </c>
      <c r="F329" s="14">
        <v>16</v>
      </c>
    </row>
    <row r="330" spans="1:6" x14ac:dyDescent="0.3">
      <c r="A330" s="14">
        <v>329</v>
      </c>
      <c r="B330" s="14" t="s">
        <v>685</v>
      </c>
      <c r="C330" s="14">
        <v>18</v>
      </c>
      <c r="D330" s="14" t="str">
        <f>IFERROR(INDEX(Teams!$B$2:$B$49,MATCH($C330,Teams!$A$2:$A$49,0)),"")</f>
        <v>Croatia</v>
      </c>
      <c r="E330" s="14" t="s">
        <v>361</v>
      </c>
      <c r="F330" s="14">
        <v>17</v>
      </c>
    </row>
    <row r="331" spans="1:6" x14ac:dyDescent="0.3">
      <c r="A331" s="14">
        <v>330</v>
      </c>
      <c r="B331" s="14" t="s">
        <v>686</v>
      </c>
      <c r="C331" s="14">
        <v>18</v>
      </c>
      <c r="D331" s="14" t="str">
        <f>IFERROR(INDEX(Teams!$B$2:$B$49,MATCH($C331,Teams!$A$2:$A$49,0)),"")</f>
        <v>Croatia</v>
      </c>
      <c r="E331" s="14" t="s">
        <v>356</v>
      </c>
      <c r="F331" s="14">
        <v>18</v>
      </c>
    </row>
    <row r="332" spans="1:6" x14ac:dyDescent="0.3">
      <c r="A332" s="14">
        <v>331</v>
      </c>
      <c r="B332" s="14" t="s">
        <v>687</v>
      </c>
      <c r="C332" s="14">
        <v>18</v>
      </c>
      <c r="D332" s="14" t="str">
        <f>IFERROR(INDEX(Teams!$B$2:$B$49,MATCH($C332,Teams!$A$2:$A$49,0)),"")</f>
        <v>Croatia</v>
      </c>
      <c r="E332" s="14" t="s">
        <v>361</v>
      </c>
      <c r="F332" s="14">
        <v>19</v>
      </c>
    </row>
    <row r="333" spans="1:6" x14ac:dyDescent="0.3">
      <c r="A333" s="14">
        <v>332</v>
      </c>
      <c r="B333" s="14" t="s">
        <v>688</v>
      </c>
      <c r="C333" s="14">
        <v>18</v>
      </c>
      <c r="D333" s="14" t="str">
        <f>IFERROR(INDEX(Teams!$B$2:$B$49,MATCH($C333,Teams!$A$2:$A$49,0)),"")</f>
        <v>Croatia</v>
      </c>
      <c r="E333" s="14" t="s">
        <v>363</v>
      </c>
      <c r="F333" s="14">
        <v>20</v>
      </c>
    </row>
    <row r="334" spans="1:6" x14ac:dyDescent="0.3">
      <c r="A334" s="14">
        <v>333</v>
      </c>
      <c r="B334" s="14" t="s">
        <v>689</v>
      </c>
      <c r="C334" s="14">
        <v>18</v>
      </c>
      <c r="D334" s="14" t="str">
        <f>IFERROR(INDEX(Teams!$B$2:$B$49,MATCH($C334,Teams!$A$2:$A$49,0)),"")</f>
        <v>Croatia</v>
      </c>
      <c r="E334" s="14" t="s">
        <v>361</v>
      </c>
      <c r="F334" s="14">
        <v>21</v>
      </c>
    </row>
    <row r="335" spans="1:6" x14ac:dyDescent="0.3">
      <c r="A335" s="14">
        <v>334</v>
      </c>
      <c r="B335" s="14" t="s">
        <v>690</v>
      </c>
      <c r="C335" s="14">
        <v>18</v>
      </c>
      <c r="D335" s="14" t="str">
        <f>IFERROR(INDEX(Teams!$B$2:$B$49,MATCH($C335,Teams!$A$2:$A$49,0)),"")</f>
        <v>Croatia</v>
      </c>
      <c r="E335" s="14" t="s">
        <v>356</v>
      </c>
      <c r="F335" s="14">
        <v>22</v>
      </c>
    </row>
    <row r="336" spans="1:6" x14ac:dyDescent="0.3">
      <c r="A336" s="14">
        <v>335</v>
      </c>
      <c r="B336" s="14" t="s">
        <v>691</v>
      </c>
      <c r="C336" s="14">
        <v>18</v>
      </c>
      <c r="D336" s="14" t="str">
        <f>IFERROR(INDEX(Teams!$B$2:$B$49,MATCH($C336,Teams!$A$2:$A$49,0)),"")</f>
        <v>Croatia</v>
      </c>
      <c r="E336" s="14" t="s">
        <v>354</v>
      </c>
      <c r="F336" s="14">
        <v>23</v>
      </c>
    </row>
    <row r="337" spans="1:6" x14ac:dyDescent="0.3">
      <c r="A337" s="14">
        <v>336</v>
      </c>
      <c r="B337" s="14" t="s">
        <v>692</v>
      </c>
      <c r="C337" s="14">
        <v>18</v>
      </c>
      <c r="D337" s="14" t="str">
        <f>IFERROR(INDEX(Teams!$B$2:$B$49,MATCH($C337,Teams!$A$2:$A$49,0)),"")</f>
        <v>Croatia</v>
      </c>
      <c r="E337" s="14" t="s">
        <v>363</v>
      </c>
      <c r="F337" s="14">
        <v>24</v>
      </c>
    </row>
    <row r="338" spans="1:6" x14ac:dyDescent="0.3">
      <c r="A338" s="14">
        <v>337</v>
      </c>
      <c r="B338" s="14" t="s">
        <v>693</v>
      </c>
      <c r="C338" s="14">
        <v>18</v>
      </c>
      <c r="D338" s="14" t="str">
        <f>IFERROR(INDEX(Teams!$B$2:$B$49,MATCH($C338,Teams!$A$2:$A$49,0)),"")</f>
        <v>Croatia</v>
      </c>
      <c r="E338" s="14" t="s">
        <v>356</v>
      </c>
      <c r="F338" s="14">
        <v>25</v>
      </c>
    </row>
    <row r="339" spans="1:6" x14ac:dyDescent="0.3">
      <c r="A339" s="14">
        <v>338</v>
      </c>
      <c r="B339" s="14" t="s">
        <v>694</v>
      </c>
      <c r="C339" s="14">
        <v>18</v>
      </c>
      <c r="D339" s="14" t="str">
        <f>IFERROR(INDEX(Teams!$B$2:$B$49,MATCH($C339,Teams!$A$2:$A$49,0)),"")</f>
        <v>Croatia</v>
      </c>
      <c r="E339" s="14" t="s">
        <v>363</v>
      </c>
      <c r="F339" s="14">
        <v>26</v>
      </c>
    </row>
    <row r="340" spans="1:6" x14ac:dyDescent="0.3">
      <c r="A340" s="14">
        <v>339</v>
      </c>
      <c r="B340" s="14" t="s">
        <v>695</v>
      </c>
      <c r="C340" s="14">
        <v>37</v>
      </c>
      <c r="D340" s="14" t="str">
        <f>IFERROR(INDEX(Teams!$B$2:$B$49,MATCH($C340,Teams!$A$2:$A$49,0)),"")</f>
        <v>Curaçao</v>
      </c>
      <c r="E340" s="14" t="s">
        <v>354</v>
      </c>
      <c r="F340" s="14">
        <v>1</v>
      </c>
    </row>
    <row r="341" spans="1:6" x14ac:dyDescent="0.3">
      <c r="A341" s="14">
        <v>340</v>
      </c>
      <c r="B341" s="14" t="s">
        <v>696</v>
      </c>
      <c r="C341" s="14">
        <v>37</v>
      </c>
      <c r="D341" s="14" t="str">
        <f>IFERROR(INDEX(Teams!$B$2:$B$49,MATCH($C341,Teams!$A$2:$A$49,0)),"")</f>
        <v>Curaçao</v>
      </c>
      <c r="E341" s="14" t="s">
        <v>356</v>
      </c>
      <c r="F341" s="14">
        <v>2</v>
      </c>
    </row>
    <row r="342" spans="1:6" x14ac:dyDescent="0.3">
      <c r="A342" s="14">
        <v>341</v>
      </c>
      <c r="B342" s="14" t="s">
        <v>697</v>
      </c>
      <c r="C342" s="14">
        <v>37</v>
      </c>
      <c r="D342" s="14" t="str">
        <f>IFERROR(INDEX(Teams!$B$2:$B$49,MATCH($C342,Teams!$A$2:$A$49,0)),"")</f>
        <v>Curaçao</v>
      </c>
      <c r="E342" s="14" t="s">
        <v>356</v>
      </c>
      <c r="F342" s="14">
        <v>3</v>
      </c>
    </row>
    <row r="343" spans="1:6" x14ac:dyDescent="0.3">
      <c r="A343" s="14">
        <v>342</v>
      </c>
      <c r="B343" s="14" t="s">
        <v>698</v>
      </c>
      <c r="C343" s="14">
        <v>37</v>
      </c>
      <c r="D343" s="14" t="str">
        <f>IFERROR(INDEX(Teams!$B$2:$B$49,MATCH($C343,Teams!$A$2:$A$49,0)),"")</f>
        <v>Curaçao</v>
      </c>
      <c r="E343" s="14" t="s">
        <v>356</v>
      </c>
      <c r="F343" s="14">
        <v>4</v>
      </c>
    </row>
    <row r="344" spans="1:6" x14ac:dyDescent="0.3">
      <c r="A344" s="14">
        <v>343</v>
      </c>
      <c r="B344" s="14" t="s">
        <v>699</v>
      </c>
      <c r="C344" s="14">
        <v>37</v>
      </c>
      <c r="D344" s="14" t="str">
        <f>IFERROR(INDEX(Teams!$B$2:$B$49,MATCH($C344,Teams!$A$2:$A$49,0)),"")</f>
        <v>Curaçao</v>
      </c>
      <c r="E344" s="14" t="s">
        <v>356</v>
      </c>
      <c r="F344" s="14">
        <v>5</v>
      </c>
    </row>
    <row r="345" spans="1:6" x14ac:dyDescent="0.3">
      <c r="A345" s="14">
        <v>344</v>
      </c>
      <c r="B345" s="14" t="s">
        <v>700</v>
      </c>
      <c r="C345" s="14">
        <v>37</v>
      </c>
      <c r="D345" s="14" t="str">
        <f>IFERROR(INDEX(Teams!$B$2:$B$49,MATCH($C345,Teams!$A$2:$A$49,0)),"")</f>
        <v>Curaçao</v>
      </c>
      <c r="E345" s="14" t="s">
        <v>361</v>
      </c>
      <c r="F345" s="14">
        <v>6</v>
      </c>
    </row>
    <row r="346" spans="1:6" x14ac:dyDescent="0.3">
      <c r="A346" s="14">
        <v>345</v>
      </c>
      <c r="B346" s="14" t="s">
        <v>701</v>
      </c>
      <c r="C346" s="14">
        <v>37</v>
      </c>
      <c r="D346" s="14" t="str">
        <f>IFERROR(INDEX(Teams!$B$2:$B$49,MATCH($C346,Teams!$A$2:$A$49,0)),"")</f>
        <v>Curaçao</v>
      </c>
      <c r="E346" s="14" t="s">
        <v>361</v>
      </c>
      <c r="F346" s="14">
        <v>7</v>
      </c>
    </row>
    <row r="347" spans="1:6" x14ac:dyDescent="0.3">
      <c r="A347" s="14">
        <v>346</v>
      </c>
      <c r="B347" s="14" t="s">
        <v>702</v>
      </c>
      <c r="C347" s="14">
        <v>37</v>
      </c>
      <c r="D347" s="14" t="str">
        <f>IFERROR(INDEX(Teams!$B$2:$B$49,MATCH($C347,Teams!$A$2:$A$49,0)),"")</f>
        <v>Curaçao</v>
      </c>
      <c r="E347" s="14" t="s">
        <v>361</v>
      </c>
      <c r="F347" s="14">
        <v>8</v>
      </c>
    </row>
    <row r="348" spans="1:6" x14ac:dyDescent="0.3">
      <c r="A348" s="14">
        <v>347</v>
      </c>
      <c r="B348" s="14" t="s">
        <v>703</v>
      </c>
      <c r="C348" s="14">
        <v>37</v>
      </c>
      <c r="D348" s="14" t="str">
        <f>IFERROR(INDEX(Teams!$B$2:$B$49,MATCH($C348,Teams!$A$2:$A$49,0)),"")</f>
        <v>Curaçao</v>
      </c>
      <c r="E348" s="14" t="s">
        <v>363</v>
      </c>
      <c r="F348" s="14">
        <v>9</v>
      </c>
    </row>
    <row r="349" spans="1:6" x14ac:dyDescent="0.3">
      <c r="A349" s="14">
        <v>348</v>
      </c>
      <c r="B349" s="14" t="s">
        <v>704</v>
      </c>
      <c r="C349" s="14">
        <v>37</v>
      </c>
      <c r="D349" s="14" t="str">
        <f>IFERROR(INDEX(Teams!$B$2:$B$49,MATCH($C349,Teams!$A$2:$A$49,0)),"")</f>
        <v>Curaçao</v>
      </c>
      <c r="E349" s="14" t="s">
        <v>361</v>
      </c>
      <c r="F349" s="14">
        <v>10</v>
      </c>
    </row>
    <row r="350" spans="1:6" x14ac:dyDescent="0.3">
      <c r="A350" s="14">
        <v>349</v>
      </c>
      <c r="B350" s="14" t="s">
        <v>705</v>
      </c>
      <c r="C350" s="14">
        <v>37</v>
      </c>
      <c r="D350" s="14" t="str">
        <f>IFERROR(INDEX(Teams!$B$2:$B$49,MATCH($C350,Teams!$A$2:$A$49,0)),"")</f>
        <v>Curaçao</v>
      </c>
      <c r="E350" s="14" t="s">
        <v>363</v>
      </c>
      <c r="F350" s="14">
        <v>11</v>
      </c>
    </row>
    <row r="351" spans="1:6" x14ac:dyDescent="0.3">
      <c r="A351" s="14">
        <v>350</v>
      </c>
      <c r="B351" s="14" t="s">
        <v>706</v>
      </c>
      <c r="C351" s="14">
        <v>37</v>
      </c>
      <c r="D351" s="14" t="str">
        <f>IFERROR(INDEX(Teams!$B$2:$B$49,MATCH($C351,Teams!$A$2:$A$49,0)),"")</f>
        <v>Curaçao</v>
      </c>
      <c r="E351" s="14" t="s">
        <v>363</v>
      </c>
      <c r="F351" s="14">
        <v>12</v>
      </c>
    </row>
    <row r="352" spans="1:6" x14ac:dyDescent="0.3">
      <c r="A352" s="14">
        <v>351</v>
      </c>
      <c r="B352" s="14" t="s">
        <v>707</v>
      </c>
      <c r="C352" s="14">
        <v>37</v>
      </c>
      <c r="D352" s="14" t="str">
        <f>IFERROR(INDEX(Teams!$B$2:$B$49,MATCH($C352,Teams!$A$2:$A$49,0)),"")</f>
        <v>Curaçao</v>
      </c>
      <c r="E352" s="14" t="s">
        <v>363</v>
      </c>
      <c r="F352" s="14">
        <v>13</v>
      </c>
    </row>
    <row r="353" spans="1:6" x14ac:dyDescent="0.3">
      <c r="A353" s="14">
        <v>352</v>
      </c>
      <c r="B353" s="14" t="s">
        <v>708</v>
      </c>
      <c r="C353" s="14">
        <v>37</v>
      </c>
      <c r="D353" s="14" t="str">
        <f>IFERROR(INDEX(Teams!$B$2:$B$49,MATCH($C353,Teams!$A$2:$A$49,0)),"")</f>
        <v>Curaçao</v>
      </c>
      <c r="E353" s="14" t="s">
        <v>363</v>
      </c>
      <c r="F353" s="14">
        <v>14</v>
      </c>
    </row>
    <row r="354" spans="1:6" x14ac:dyDescent="0.3">
      <c r="A354" s="14">
        <v>353</v>
      </c>
      <c r="B354" s="14" t="s">
        <v>709</v>
      </c>
      <c r="C354" s="14">
        <v>37</v>
      </c>
      <c r="D354" s="14" t="str">
        <f>IFERROR(INDEX(Teams!$B$2:$B$49,MATCH($C354,Teams!$A$2:$A$49,0)),"")</f>
        <v>Curaçao</v>
      </c>
      <c r="E354" s="14" t="s">
        <v>361</v>
      </c>
      <c r="F354" s="14">
        <v>15</v>
      </c>
    </row>
    <row r="355" spans="1:6" x14ac:dyDescent="0.3">
      <c r="A355" s="14">
        <v>354</v>
      </c>
      <c r="B355" s="14" t="s">
        <v>710</v>
      </c>
      <c r="C355" s="14">
        <v>37</v>
      </c>
      <c r="D355" s="14" t="str">
        <f>IFERROR(INDEX(Teams!$B$2:$B$49,MATCH($C355,Teams!$A$2:$A$49,0)),"")</f>
        <v>Curaçao</v>
      </c>
      <c r="E355" s="14" t="s">
        <v>363</v>
      </c>
      <c r="F355" s="14">
        <v>16</v>
      </c>
    </row>
    <row r="356" spans="1:6" x14ac:dyDescent="0.3">
      <c r="A356" s="14">
        <v>355</v>
      </c>
      <c r="B356" s="14" t="s">
        <v>711</v>
      </c>
      <c r="C356" s="14">
        <v>37</v>
      </c>
      <c r="D356" s="14" t="str">
        <f>IFERROR(INDEX(Teams!$B$2:$B$49,MATCH($C356,Teams!$A$2:$A$49,0)),"")</f>
        <v>Curaçao</v>
      </c>
      <c r="E356" s="14" t="s">
        <v>363</v>
      </c>
      <c r="F356" s="14">
        <v>17</v>
      </c>
    </row>
    <row r="357" spans="1:6" x14ac:dyDescent="0.3">
      <c r="A357" s="14">
        <v>356</v>
      </c>
      <c r="B357" s="14" t="s">
        <v>712</v>
      </c>
      <c r="C357" s="14">
        <v>37</v>
      </c>
      <c r="D357" s="14" t="str">
        <f>IFERROR(INDEX(Teams!$B$2:$B$49,MATCH($C357,Teams!$A$2:$A$49,0)),"")</f>
        <v>Curaçao</v>
      </c>
      <c r="E357" s="14" t="s">
        <v>356</v>
      </c>
      <c r="F357" s="14">
        <v>18</v>
      </c>
    </row>
    <row r="358" spans="1:6" x14ac:dyDescent="0.3">
      <c r="A358" s="14">
        <v>357</v>
      </c>
      <c r="B358" s="14" t="s">
        <v>713</v>
      </c>
      <c r="C358" s="14">
        <v>37</v>
      </c>
      <c r="D358" s="14" t="str">
        <f>IFERROR(INDEX(Teams!$B$2:$B$49,MATCH($C358,Teams!$A$2:$A$49,0)),"")</f>
        <v>Curaçao</v>
      </c>
      <c r="E358" s="14" t="s">
        <v>363</v>
      </c>
      <c r="F358" s="14">
        <v>19</v>
      </c>
    </row>
    <row r="359" spans="1:6" x14ac:dyDescent="0.3">
      <c r="A359" s="14">
        <v>358</v>
      </c>
      <c r="B359" s="14" t="s">
        <v>714</v>
      </c>
      <c r="C359" s="14">
        <v>37</v>
      </c>
      <c r="D359" s="14" t="str">
        <f>IFERROR(INDEX(Teams!$B$2:$B$49,MATCH($C359,Teams!$A$2:$A$49,0)),"")</f>
        <v>Curaçao</v>
      </c>
      <c r="E359" s="14" t="s">
        <v>356</v>
      </c>
      <c r="F359" s="14">
        <v>20</v>
      </c>
    </row>
    <row r="360" spans="1:6" x14ac:dyDescent="0.3">
      <c r="A360" s="14">
        <v>359</v>
      </c>
      <c r="B360" s="14" t="s">
        <v>715</v>
      </c>
      <c r="C360" s="14">
        <v>37</v>
      </c>
      <c r="D360" s="14" t="str">
        <f>IFERROR(INDEX(Teams!$B$2:$B$49,MATCH($C360,Teams!$A$2:$A$49,0)),"")</f>
        <v>Curaçao</v>
      </c>
      <c r="E360" s="14" t="s">
        <v>361</v>
      </c>
      <c r="F360" s="14">
        <v>21</v>
      </c>
    </row>
    <row r="361" spans="1:6" x14ac:dyDescent="0.3">
      <c r="A361" s="14">
        <v>360</v>
      </c>
      <c r="B361" s="14" t="s">
        <v>716</v>
      </c>
      <c r="C361" s="14">
        <v>37</v>
      </c>
      <c r="D361" s="14" t="str">
        <f>IFERROR(INDEX(Teams!$B$2:$B$49,MATCH($C361,Teams!$A$2:$A$49,0)),"")</f>
        <v>Curaçao</v>
      </c>
      <c r="E361" s="14" t="s">
        <v>361</v>
      </c>
      <c r="F361" s="14">
        <v>22</v>
      </c>
    </row>
    <row r="362" spans="1:6" x14ac:dyDescent="0.3">
      <c r="A362" s="14">
        <v>361</v>
      </c>
      <c r="B362" s="14" t="s">
        <v>717</v>
      </c>
      <c r="C362" s="14">
        <v>37</v>
      </c>
      <c r="D362" s="14" t="str">
        <f>IFERROR(INDEX(Teams!$B$2:$B$49,MATCH($C362,Teams!$A$2:$A$49,0)),"")</f>
        <v>Curaçao</v>
      </c>
      <c r="E362" s="14" t="s">
        <v>356</v>
      </c>
      <c r="F362" s="14">
        <v>23</v>
      </c>
    </row>
    <row r="363" spans="1:6" x14ac:dyDescent="0.3">
      <c r="A363" s="14">
        <v>362</v>
      </c>
      <c r="B363" s="14" t="s">
        <v>718</v>
      </c>
      <c r="C363" s="14">
        <v>37</v>
      </c>
      <c r="D363" s="14" t="str">
        <f>IFERROR(INDEX(Teams!$B$2:$B$49,MATCH($C363,Teams!$A$2:$A$49,0)),"")</f>
        <v>Curaçao</v>
      </c>
      <c r="E363" s="14" t="s">
        <v>356</v>
      </c>
      <c r="F363" s="14">
        <v>24</v>
      </c>
    </row>
    <row r="364" spans="1:6" x14ac:dyDescent="0.3">
      <c r="A364" s="14">
        <v>363</v>
      </c>
      <c r="B364" s="14" t="s">
        <v>719</v>
      </c>
      <c r="C364" s="14">
        <v>37</v>
      </c>
      <c r="D364" s="14" t="str">
        <f>IFERROR(INDEX(Teams!$B$2:$B$49,MATCH($C364,Teams!$A$2:$A$49,0)),"")</f>
        <v>Curaçao</v>
      </c>
      <c r="E364" s="14" t="s">
        <v>354</v>
      </c>
      <c r="F364" s="14">
        <v>25</v>
      </c>
    </row>
    <row r="365" spans="1:6" x14ac:dyDescent="0.3">
      <c r="A365" s="14">
        <v>364</v>
      </c>
      <c r="B365" s="14" t="s">
        <v>720</v>
      </c>
      <c r="C365" s="14">
        <v>37</v>
      </c>
      <c r="D365" s="14" t="str">
        <f>IFERROR(INDEX(Teams!$B$2:$B$49,MATCH($C365,Teams!$A$2:$A$49,0)),"")</f>
        <v>Curaçao</v>
      </c>
      <c r="E365" s="14" t="s">
        <v>354</v>
      </c>
      <c r="F365" s="14">
        <v>26</v>
      </c>
    </row>
    <row r="366" spans="1:6" x14ac:dyDescent="0.3">
      <c r="A366" s="14">
        <v>365</v>
      </c>
      <c r="B366" s="14" t="s">
        <v>721</v>
      </c>
      <c r="C366" s="14">
        <v>38</v>
      </c>
      <c r="D366" s="14" t="str">
        <f>IFERROR(INDEX(Teams!$B$2:$B$49,MATCH($C366,Teams!$A$2:$A$49,0)),"")</f>
        <v>Czechia</v>
      </c>
      <c r="E366" s="14" t="s">
        <v>354</v>
      </c>
      <c r="F366" s="14">
        <v>1</v>
      </c>
    </row>
    <row r="367" spans="1:6" x14ac:dyDescent="0.3">
      <c r="A367" s="14">
        <v>366</v>
      </c>
      <c r="B367" s="14" t="s">
        <v>722</v>
      </c>
      <c r="C367" s="14">
        <v>38</v>
      </c>
      <c r="D367" s="14" t="str">
        <f>IFERROR(INDEX(Teams!$B$2:$B$49,MATCH($C367,Teams!$A$2:$A$49,0)),"")</f>
        <v>Czechia</v>
      </c>
      <c r="E367" s="14" t="s">
        <v>356</v>
      </c>
      <c r="F367" s="14">
        <v>2</v>
      </c>
    </row>
    <row r="368" spans="1:6" x14ac:dyDescent="0.3">
      <c r="A368" s="14">
        <v>367</v>
      </c>
      <c r="B368" s="14" t="s">
        <v>723</v>
      </c>
      <c r="C368" s="14">
        <v>38</v>
      </c>
      <c r="D368" s="14" t="str">
        <f>IFERROR(INDEX(Teams!$B$2:$B$49,MATCH($C368,Teams!$A$2:$A$49,0)),"")</f>
        <v>Czechia</v>
      </c>
      <c r="E368" s="14" t="s">
        <v>356</v>
      </c>
      <c r="F368" s="14">
        <v>3</v>
      </c>
    </row>
    <row r="369" spans="1:6" x14ac:dyDescent="0.3">
      <c r="A369" s="14">
        <v>368</v>
      </c>
      <c r="B369" s="14" t="s">
        <v>724</v>
      </c>
      <c r="C369" s="14">
        <v>38</v>
      </c>
      <c r="D369" s="14" t="str">
        <f>IFERROR(INDEX(Teams!$B$2:$B$49,MATCH($C369,Teams!$A$2:$A$49,0)),"")</f>
        <v>Czechia</v>
      </c>
      <c r="E369" s="14" t="s">
        <v>356</v>
      </c>
      <c r="F369" s="14">
        <v>4</v>
      </c>
    </row>
    <row r="370" spans="1:6" x14ac:dyDescent="0.3">
      <c r="A370" s="14">
        <v>369</v>
      </c>
      <c r="B370" s="14" t="s">
        <v>725</v>
      </c>
      <c r="C370" s="14">
        <v>38</v>
      </c>
      <c r="D370" s="14" t="str">
        <f>IFERROR(INDEX(Teams!$B$2:$B$49,MATCH($C370,Teams!$A$2:$A$49,0)),"")</f>
        <v>Czechia</v>
      </c>
      <c r="E370" s="14" t="s">
        <v>356</v>
      </c>
      <c r="F370" s="14">
        <v>5</v>
      </c>
    </row>
    <row r="371" spans="1:6" x14ac:dyDescent="0.3">
      <c r="A371" s="14">
        <v>370</v>
      </c>
      <c r="B371" s="14" t="s">
        <v>726</v>
      </c>
      <c r="C371" s="14">
        <v>38</v>
      </c>
      <c r="D371" s="14" t="str">
        <f>IFERROR(INDEX(Teams!$B$2:$B$49,MATCH($C371,Teams!$A$2:$A$49,0)),"")</f>
        <v>Czechia</v>
      </c>
      <c r="E371" s="14" t="s">
        <v>356</v>
      </c>
      <c r="F371" s="14">
        <v>6</v>
      </c>
    </row>
    <row r="372" spans="1:6" x14ac:dyDescent="0.3">
      <c r="A372" s="14">
        <v>371</v>
      </c>
      <c r="B372" s="14" t="s">
        <v>727</v>
      </c>
      <c r="C372" s="14">
        <v>38</v>
      </c>
      <c r="D372" s="14" t="str">
        <f>IFERROR(INDEX(Teams!$B$2:$B$49,MATCH($C372,Teams!$A$2:$A$49,0)),"")</f>
        <v>Czechia</v>
      </c>
      <c r="E372" s="14" t="s">
        <v>356</v>
      </c>
      <c r="F372" s="14">
        <v>7</v>
      </c>
    </row>
    <row r="373" spans="1:6" x14ac:dyDescent="0.3">
      <c r="A373" s="14">
        <v>372</v>
      </c>
      <c r="B373" s="14" t="s">
        <v>728</v>
      </c>
      <c r="C373" s="14">
        <v>38</v>
      </c>
      <c r="D373" s="14" t="str">
        <f>IFERROR(INDEX(Teams!$B$2:$B$49,MATCH($C373,Teams!$A$2:$A$49,0)),"")</f>
        <v>Czechia</v>
      </c>
      <c r="E373" s="14" t="s">
        <v>361</v>
      </c>
      <c r="F373" s="14">
        <v>8</v>
      </c>
    </row>
    <row r="374" spans="1:6" x14ac:dyDescent="0.3">
      <c r="A374" s="14">
        <v>373</v>
      </c>
      <c r="B374" s="14" t="s">
        <v>729</v>
      </c>
      <c r="C374" s="14">
        <v>38</v>
      </c>
      <c r="D374" s="14" t="str">
        <f>IFERROR(INDEX(Teams!$B$2:$B$49,MATCH($C374,Teams!$A$2:$A$49,0)),"")</f>
        <v>Czechia</v>
      </c>
      <c r="E374" s="14" t="s">
        <v>363</v>
      </c>
      <c r="F374" s="14">
        <v>9</v>
      </c>
    </row>
    <row r="375" spans="1:6" x14ac:dyDescent="0.3">
      <c r="A375" s="14">
        <v>374</v>
      </c>
      <c r="B375" s="14" t="s">
        <v>730</v>
      </c>
      <c r="C375" s="14">
        <v>38</v>
      </c>
      <c r="D375" s="14" t="str">
        <f>IFERROR(INDEX(Teams!$B$2:$B$49,MATCH($C375,Teams!$A$2:$A$49,0)),"")</f>
        <v>Czechia</v>
      </c>
      <c r="E375" s="14" t="s">
        <v>363</v>
      </c>
      <c r="F375" s="14">
        <v>10</v>
      </c>
    </row>
    <row r="376" spans="1:6" x14ac:dyDescent="0.3">
      <c r="A376" s="14">
        <v>375</v>
      </c>
      <c r="B376" s="14" t="s">
        <v>731</v>
      </c>
      <c r="C376" s="14">
        <v>38</v>
      </c>
      <c r="D376" s="14" t="str">
        <f>IFERROR(INDEX(Teams!$B$2:$B$49,MATCH($C376,Teams!$A$2:$A$49,0)),"")</f>
        <v>Czechia</v>
      </c>
      <c r="E376" s="14" t="s">
        <v>363</v>
      </c>
      <c r="F376" s="14">
        <v>11</v>
      </c>
    </row>
    <row r="377" spans="1:6" x14ac:dyDescent="0.3">
      <c r="A377" s="14">
        <v>376</v>
      </c>
      <c r="B377" s="14" t="s">
        <v>732</v>
      </c>
      <c r="C377" s="14">
        <v>38</v>
      </c>
      <c r="D377" s="14" t="str">
        <f>IFERROR(INDEX(Teams!$B$2:$B$49,MATCH($C377,Teams!$A$2:$A$49,0)),"")</f>
        <v>Czechia</v>
      </c>
      <c r="E377" s="14" t="s">
        <v>361</v>
      </c>
      <c r="F377" s="14">
        <v>12</v>
      </c>
    </row>
    <row r="378" spans="1:6" x14ac:dyDescent="0.3">
      <c r="A378" s="14">
        <v>377</v>
      </c>
      <c r="B378" s="14" t="s">
        <v>733</v>
      </c>
      <c r="C378" s="14">
        <v>38</v>
      </c>
      <c r="D378" s="14" t="str">
        <f>IFERROR(INDEX(Teams!$B$2:$B$49,MATCH($C378,Teams!$A$2:$A$49,0)),"")</f>
        <v>Czechia</v>
      </c>
      <c r="E378" s="14" t="s">
        <v>363</v>
      </c>
      <c r="F378" s="14">
        <v>13</v>
      </c>
    </row>
    <row r="379" spans="1:6" x14ac:dyDescent="0.3">
      <c r="A379" s="14">
        <v>378</v>
      </c>
      <c r="B379" s="14" t="s">
        <v>734</v>
      </c>
      <c r="C379" s="14">
        <v>38</v>
      </c>
      <c r="D379" s="14" t="str">
        <f>IFERROR(INDEX(Teams!$B$2:$B$49,MATCH($C379,Teams!$A$2:$A$49,0)),"")</f>
        <v>Czechia</v>
      </c>
      <c r="E379" s="14" t="s">
        <v>356</v>
      </c>
      <c r="F379" s="14">
        <v>14</v>
      </c>
    </row>
    <row r="380" spans="1:6" x14ac:dyDescent="0.3">
      <c r="A380" s="14">
        <v>379</v>
      </c>
      <c r="B380" s="14" t="s">
        <v>735</v>
      </c>
      <c r="C380" s="14">
        <v>38</v>
      </c>
      <c r="D380" s="14" t="str">
        <f>IFERROR(INDEX(Teams!$B$2:$B$49,MATCH($C380,Teams!$A$2:$A$49,0)),"")</f>
        <v>Czechia</v>
      </c>
      <c r="E380" s="14" t="s">
        <v>363</v>
      </c>
      <c r="F380" s="14">
        <v>15</v>
      </c>
    </row>
    <row r="381" spans="1:6" x14ac:dyDescent="0.3">
      <c r="A381" s="14">
        <v>380</v>
      </c>
      <c r="B381" s="14" t="s">
        <v>736</v>
      </c>
      <c r="C381" s="14">
        <v>38</v>
      </c>
      <c r="D381" s="14" t="str">
        <f>IFERROR(INDEX(Teams!$B$2:$B$49,MATCH($C381,Teams!$A$2:$A$49,0)),"")</f>
        <v>Czechia</v>
      </c>
      <c r="E381" s="14" t="s">
        <v>354</v>
      </c>
      <c r="F381" s="14">
        <v>16</v>
      </c>
    </row>
    <row r="382" spans="1:6" x14ac:dyDescent="0.3">
      <c r="A382" s="14">
        <v>381</v>
      </c>
      <c r="B382" s="14" t="s">
        <v>737</v>
      </c>
      <c r="C382" s="14">
        <v>38</v>
      </c>
      <c r="D382" s="14" t="str">
        <f>IFERROR(INDEX(Teams!$B$2:$B$49,MATCH($C382,Teams!$A$2:$A$49,0)),"")</f>
        <v>Czechia</v>
      </c>
      <c r="E382" s="14" t="s">
        <v>361</v>
      </c>
      <c r="F382" s="14">
        <v>17</v>
      </c>
    </row>
    <row r="383" spans="1:6" x14ac:dyDescent="0.3">
      <c r="A383" s="14">
        <v>382</v>
      </c>
      <c r="B383" s="14" t="s">
        <v>738</v>
      </c>
      <c r="C383" s="14">
        <v>38</v>
      </c>
      <c r="D383" s="14" t="str">
        <f>IFERROR(INDEX(Teams!$B$2:$B$49,MATCH($C383,Teams!$A$2:$A$49,0)),"")</f>
        <v>Czechia</v>
      </c>
      <c r="E383" s="14" t="s">
        <v>361</v>
      </c>
      <c r="F383" s="14">
        <v>18</v>
      </c>
    </row>
    <row r="384" spans="1:6" x14ac:dyDescent="0.3">
      <c r="A384" s="14">
        <v>383</v>
      </c>
      <c r="B384" s="14" t="s">
        <v>739</v>
      </c>
      <c r="C384" s="14">
        <v>38</v>
      </c>
      <c r="D384" s="14" t="str">
        <f>IFERROR(INDEX(Teams!$B$2:$B$49,MATCH($C384,Teams!$A$2:$A$49,0)),"")</f>
        <v>Czechia</v>
      </c>
      <c r="E384" s="14" t="s">
        <v>363</v>
      </c>
      <c r="F384" s="14">
        <v>19</v>
      </c>
    </row>
    <row r="385" spans="1:6" x14ac:dyDescent="0.3">
      <c r="A385" s="14">
        <v>384</v>
      </c>
      <c r="B385" s="14" t="s">
        <v>740</v>
      </c>
      <c r="C385" s="14">
        <v>38</v>
      </c>
      <c r="D385" s="14" t="str">
        <f>IFERROR(INDEX(Teams!$B$2:$B$49,MATCH($C385,Teams!$A$2:$A$49,0)),"")</f>
        <v>Czechia</v>
      </c>
      <c r="E385" s="14" t="s">
        <v>356</v>
      </c>
      <c r="F385" s="14">
        <v>20</v>
      </c>
    </row>
    <row r="386" spans="1:6" x14ac:dyDescent="0.3">
      <c r="A386" s="14">
        <v>385</v>
      </c>
      <c r="B386" s="14" t="s">
        <v>741</v>
      </c>
      <c r="C386" s="14">
        <v>38</v>
      </c>
      <c r="D386" s="14" t="str">
        <f>IFERROR(INDEX(Teams!$B$2:$B$49,MATCH($C386,Teams!$A$2:$A$49,0)),"")</f>
        <v>Czechia</v>
      </c>
      <c r="E386" s="14" t="s">
        <v>356</v>
      </c>
      <c r="F386" s="14">
        <v>21</v>
      </c>
    </row>
    <row r="387" spans="1:6" x14ac:dyDescent="0.3">
      <c r="A387" s="14">
        <v>386</v>
      </c>
      <c r="B387" s="14" t="s">
        <v>742</v>
      </c>
      <c r="C387" s="14">
        <v>38</v>
      </c>
      <c r="D387" s="14" t="str">
        <f>IFERROR(INDEX(Teams!$B$2:$B$49,MATCH($C387,Teams!$A$2:$A$49,0)),"")</f>
        <v>Czechia</v>
      </c>
      <c r="E387" s="14" t="s">
        <v>361</v>
      </c>
      <c r="F387" s="14">
        <v>22</v>
      </c>
    </row>
    <row r="388" spans="1:6" x14ac:dyDescent="0.3">
      <c r="A388" s="14">
        <v>387</v>
      </c>
      <c r="B388" s="14" t="s">
        <v>743</v>
      </c>
      <c r="C388" s="14">
        <v>38</v>
      </c>
      <c r="D388" s="14" t="str">
        <f>IFERROR(INDEX(Teams!$B$2:$B$49,MATCH($C388,Teams!$A$2:$A$49,0)),"")</f>
        <v>Czechia</v>
      </c>
      <c r="E388" s="14" t="s">
        <v>354</v>
      </c>
      <c r="F388" s="14">
        <v>23</v>
      </c>
    </row>
    <row r="389" spans="1:6" x14ac:dyDescent="0.3">
      <c r="A389" s="14">
        <v>388</v>
      </c>
      <c r="B389" s="14" t="s">
        <v>744</v>
      </c>
      <c r="C389" s="14">
        <v>38</v>
      </c>
      <c r="D389" s="14" t="str">
        <f>IFERROR(INDEX(Teams!$B$2:$B$49,MATCH($C389,Teams!$A$2:$A$49,0)),"")</f>
        <v>Czechia</v>
      </c>
      <c r="E389" s="14" t="s">
        <v>361</v>
      </c>
      <c r="F389" s="14">
        <v>24</v>
      </c>
    </row>
    <row r="390" spans="1:6" x14ac:dyDescent="0.3">
      <c r="A390" s="14">
        <v>389</v>
      </c>
      <c r="B390" s="14" t="s">
        <v>745</v>
      </c>
      <c r="C390" s="14">
        <v>38</v>
      </c>
      <c r="D390" s="14" t="str">
        <f>IFERROR(INDEX(Teams!$B$2:$B$49,MATCH($C390,Teams!$A$2:$A$49,0)),"")</f>
        <v>Czechia</v>
      </c>
      <c r="E390" s="14" t="s">
        <v>361</v>
      </c>
      <c r="F390" s="14">
        <v>25</v>
      </c>
    </row>
    <row r="391" spans="1:6" x14ac:dyDescent="0.3">
      <c r="A391" s="14">
        <v>390</v>
      </c>
      <c r="B391" s="14" t="s">
        <v>746</v>
      </c>
      <c r="C391" s="14">
        <v>38</v>
      </c>
      <c r="D391" s="14" t="str">
        <f>IFERROR(INDEX(Teams!$B$2:$B$49,MATCH($C391,Teams!$A$2:$A$49,0)),"")</f>
        <v>Czechia</v>
      </c>
      <c r="E391" s="14" t="s">
        <v>363</v>
      </c>
      <c r="F391" s="14">
        <v>26</v>
      </c>
    </row>
    <row r="392" spans="1:6" x14ac:dyDescent="0.3">
      <c r="A392" s="14">
        <v>391</v>
      </c>
      <c r="B392" s="14" t="s">
        <v>747</v>
      </c>
      <c r="C392" s="14">
        <v>28</v>
      </c>
      <c r="D392" s="14" t="str">
        <f>IFERROR(INDEX(Teams!$B$2:$B$49,MATCH($C392,Teams!$A$2:$A$49,0)),"")</f>
        <v>Ecuador</v>
      </c>
      <c r="E392" s="14" t="s">
        <v>354</v>
      </c>
      <c r="F392" s="14">
        <v>1</v>
      </c>
    </row>
    <row r="393" spans="1:6" x14ac:dyDescent="0.3">
      <c r="A393" s="14">
        <v>392</v>
      </c>
      <c r="B393" s="14" t="s">
        <v>748</v>
      </c>
      <c r="C393" s="14">
        <v>28</v>
      </c>
      <c r="D393" s="14" t="str">
        <f>IFERROR(INDEX(Teams!$B$2:$B$49,MATCH($C393,Teams!$A$2:$A$49,0)),"")</f>
        <v>Ecuador</v>
      </c>
      <c r="E393" s="14" t="s">
        <v>356</v>
      </c>
      <c r="F393" s="14">
        <v>2</v>
      </c>
    </row>
    <row r="394" spans="1:6" x14ac:dyDescent="0.3">
      <c r="A394" s="14">
        <v>393</v>
      </c>
      <c r="B394" s="14" t="s">
        <v>749</v>
      </c>
      <c r="C394" s="14">
        <v>28</v>
      </c>
      <c r="D394" s="14" t="str">
        <f>IFERROR(INDEX(Teams!$B$2:$B$49,MATCH($C394,Teams!$A$2:$A$49,0)),"")</f>
        <v>Ecuador</v>
      </c>
      <c r="E394" s="14" t="s">
        <v>356</v>
      </c>
      <c r="F394" s="14">
        <v>3</v>
      </c>
    </row>
    <row r="395" spans="1:6" x14ac:dyDescent="0.3">
      <c r="A395" s="14">
        <v>394</v>
      </c>
      <c r="B395" s="14" t="s">
        <v>750</v>
      </c>
      <c r="C395" s="14">
        <v>28</v>
      </c>
      <c r="D395" s="14" t="str">
        <f>IFERROR(INDEX(Teams!$B$2:$B$49,MATCH($C395,Teams!$A$2:$A$49,0)),"")</f>
        <v>Ecuador</v>
      </c>
      <c r="E395" s="14" t="s">
        <v>356</v>
      </c>
      <c r="F395" s="14">
        <v>4</v>
      </c>
    </row>
    <row r="396" spans="1:6" x14ac:dyDescent="0.3">
      <c r="A396" s="14">
        <v>395</v>
      </c>
      <c r="B396" s="14" t="s">
        <v>751</v>
      </c>
      <c r="C396" s="14">
        <v>28</v>
      </c>
      <c r="D396" s="14" t="str">
        <f>IFERROR(INDEX(Teams!$B$2:$B$49,MATCH($C396,Teams!$A$2:$A$49,0)),"")</f>
        <v>Ecuador</v>
      </c>
      <c r="E396" s="14" t="s">
        <v>361</v>
      </c>
      <c r="F396" s="14">
        <v>5</v>
      </c>
    </row>
    <row r="397" spans="1:6" x14ac:dyDescent="0.3">
      <c r="A397" s="14">
        <v>396</v>
      </c>
      <c r="B397" s="14" t="s">
        <v>752</v>
      </c>
      <c r="C397" s="14">
        <v>28</v>
      </c>
      <c r="D397" s="14" t="str">
        <f>IFERROR(INDEX(Teams!$B$2:$B$49,MATCH($C397,Teams!$A$2:$A$49,0)),"")</f>
        <v>Ecuador</v>
      </c>
      <c r="E397" s="14" t="s">
        <v>356</v>
      </c>
      <c r="F397" s="14">
        <v>6</v>
      </c>
    </row>
    <row r="398" spans="1:6" x14ac:dyDescent="0.3">
      <c r="A398" s="14">
        <v>397</v>
      </c>
      <c r="B398" s="14" t="s">
        <v>753</v>
      </c>
      <c r="C398" s="14">
        <v>28</v>
      </c>
      <c r="D398" s="14" t="str">
        <f>IFERROR(INDEX(Teams!$B$2:$B$49,MATCH($C398,Teams!$A$2:$A$49,0)),"")</f>
        <v>Ecuador</v>
      </c>
      <c r="E398" s="14" t="s">
        <v>356</v>
      </c>
      <c r="F398" s="14">
        <v>7</v>
      </c>
    </row>
    <row r="399" spans="1:6" x14ac:dyDescent="0.3">
      <c r="A399" s="14">
        <v>398</v>
      </c>
      <c r="B399" s="14" t="s">
        <v>754</v>
      </c>
      <c r="C399" s="14">
        <v>28</v>
      </c>
      <c r="D399" s="14" t="str">
        <f>IFERROR(INDEX(Teams!$B$2:$B$49,MATCH($C399,Teams!$A$2:$A$49,0)),"")</f>
        <v>Ecuador</v>
      </c>
      <c r="E399" s="14" t="s">
        <v>361</v>
      </c>
      <c r="F399" s="14">
        <v>8</v>
      </c>
    </row>
    <row r="400" spans="1:6" x14ac:dyDescent="0.3">
      <c r="A400" s="14">
        <v>399</v>
      </c>
      <c r="B400" s="14" t="s">
        <v>755</v>
      </c>
      <c r="C400" s="14">
        <v>28</v>
      </c>
      <c r="D400" s="14" t="str">
        <f>IFERROR(INDEX(Teams!$B$2:$B$49,MATCH($C400,Teams!$A$2:$A$49,0)),"")</f>
        <v>Ecuador</v>
      </c>
      <c r="E400" s="14" t="s">
        <v>363</v>
      </c>
      <c r="F400" s="14">
        <v>9</v>
      </c>
    </row>
    <row r="401" spans="1:6" x14ac:dyDescent="0.3">
      <c r="A401" s="14">
        <v>400</v>
      </c>
      <c r="B401" s="14" t="s">
        <v>756</v>
      </c>
      <c r="C401" s="14">
        <v>28</v>
      </c>
      <c r="D401" s="14" t="str">
        <f>IFERROR(INDEX(Teams!$B$2:$B$49,MATCH($C401,Teams!$A$2:$A$49,0)),"")</f>
        <v>Ecuador</v>
      </c>
      <c r="E401" s="14" t="s">
        <v>361</v>
      </c>
      <c r="F401" s="14">
        <v>10</v>
      </c>
    </row>
    <row r="402" spans="1:6" x14ac:dyDescent="0.3">
      <c r="A402" s="14">
        <v>401</v>
      </c>
      <c r="B402" s="14" t="s">
        <v>757</v>
      </c>
      <c r="C402" s="14">
        <v>28</v>
      </c>
      <c r="D402" s="14" t="str">
        <f>IFERROR(INDEX(Teams!$B$2:$B$49,MATCH($C402,Teams!$A$2:$A$49,0)),"")</f>
        <v>Ecuador</v>
      </c>
      <c r="E402" s="14" t="s">
        <v>363</v>
      </c>
      <c r="F402" s="14">
        <v>11</v>
      </c>
    </row>
    <row r="403" spans="1:6" x14ac:dyDescent="0.3">
      <c r="A403" s="14">
        <v>402</v>
      </c>
      <c r="B403" s="14" t="s">
        <v>758</v>
      </c>
      <c r="C403" s="14">
        <v>28</v>
      </c>
      <c r="D403" s="14" t="str">
        <f>IFERROR(INDEX(Teams!$B$2:$B$49,MATCH($C403,Teams!$A$2:$A$49,0)),"")</f>
        <v>Ecuador</v>
      </c>
      <c r="E403" s="14" t="s">
        <v>354</v>
      </c>
      <c r="F403" s="14">
        <v>12</v>
      </c>
    </row>
    <row r="404" spans="1:6" x14ac:dyDescent="0.3">
      <c r="A404" s="14">
        <v>403</v>
      </c>
      <c r="B404" s="14" t="s">
        <v>759</v>
      </c>
      <c r="C404" s="14">
        <v>28</v>
      </c>
      <c r="D404" s="14" t="str">
        <f>IFERROR(INDEX(Teams!$B$2:$B$49,MATCH($C404,Teams!$A$2:$A$49,0)),"")</f>
        <v>Ecuador</v>
      </c>
      <c r="E404" s="14" t="s">
        <v>363</v>
      </c>
      <c r="F404" s="14">
        <v>13</v>
      </c>
    </row>
    <row r="405" spans="1:6" x14ac:dyDescent="0.3">
      <c r="A405" s="14">
        <v>404</v>
      </c>
      <c r="B405" s="14" t="s">
        <v>760</v>
      </c>
      <c r="C405" s="14">
        <v>28</v>
      </c>
      <c r="D405" s="14" t="str">
        <f>IFERROR(INDEX(Teams!$B$2:$B$49,MATCH($C405,Teams!$A$2:$A$49,0)),"")</f>
        <v>Ecuador</v>
      </c>
      <c r="E405" s="14" t="s">
        <v>361</v>
      </c>
      <c r="F405" s="14">
        <v>14</v>
      </c>
    </row>
    <row r="406" spans="1:6" x14ac:dyDescent="0.3">
      <c r="A406" s="14">
        <v>405</v>
      </c>
      <c r="B406" s="14" t="s">
        <v>761</v>
      </c>
      <c r="C406" s="14">
        <v>28</v>
      </c>
      <c r="D406" s="14" t="str">
        <f>IFERROR(INDEX(Teams!$B$2:$B$49,MATCH($C406,Teams!$A$2:$A$49,0)),"")</f>
        <v>Ecuador</v>
      </c>
      <c r="E406" s="14" t="s">
        <v>361</v>
      </c>
      <c r="F406" s="14">
        <v>15</v>
      </c>
    </row>
    <row r="407" spans="1:6" x14ac:dyDescent="0.3">
      <c r="A407" s="14">
        <v>406</v>
      </c>
      <c r="B407" s="14" t="s">
        <v>762</v>
      </c>
      <c r="C407" s="14">
        <v>28</v>
      </c>
      <c r="D407" s="14" t="str">
        <f>IFERROR(INDEX(Teams!$B$2:$B$49,MATCH($C407,Teams!$A$2:$A$49,0)),"")</f>
        <v>Ecuador</v>
      </c>
      <c r="E407" s="14" t="s">
        <v>363</v>
      </c>
      <c r="F407" s="14">
        <v>16</v>
      </c>
    </row>
    <row r="408" spans="1:6" x14ac:dyDescent="0.3">
      <c r="A408" s="14">
        <v>407</v>
      </c>
      <c r="B408" s="14" t="s">
        <v>763</v>
      </c>
      <c r="C408" s="14">
        <v>28</v>
      </c>
      <c r="D408" s="14" t="str">
        <f>IFERROR(INDEX(Teams!$B$2:$B$49,MATCH($C408,Teams!$A$2:$A$49,0)),"")</f>
        <v>Ecuador</v>
      </c>
      <c r="E408" s="14" t="s">
        <v>356</v>
      </c>
      <c r="F408" s="14">
        <v>17</v>
      </c>
    </row>
    <row r="409" spans="1:6" x14ac:dyDescent="0.3">
      <c r="A409" s="14">
        <v>408</v>
      </c>
      <c r="B409" s="14" t="s">
        <v>764</v>
      </c>
      <c r="C409" s="14">
        <v>28</v>
      </c>
      <c r="D409" s="14" t="str">
        <f>IFERROR(INDEX(Teams!$B$2:$B$49,MATCH($C409,Teams!$A$2:$A$49,0)),"")</f>
        <v>Ecuador</v>
      </c>
      <c r="E409" s="14" t="s">
        <v>361</v>
      </c>
      <c r="F409" s="14">
        <v>18</v>
      </c>
    </row>
    <row r="410" spans="1:6" x14ac:dyDescent="0.3">
      <c r="A410" s="14">
        <v>409</v>
      </c>
      <c r="B410" s="14" t="s">
        <v>765</v>
      </c>
      <c r="C410" s="14">
        <v>28</v>
      </c>
      <c r="D410" s="14" t="str">
        <f>IFERROR(INDEX(Teams!$B$2:$B$49,MATCH($C410,Teams!$A$2:$A$49,0)),"")</f>
        <v>Ecuador</v>
      </c>
      <c r="E410" s="14" t="s">
        <v>363</v>
      </c>
      <c r="F410" s="14">
        <v>19</v>
      </c>
    </row>
    <row r="411" spans="1:6" x14ac:dyDescent="0.3">
      <c r="A411" s="14">
        <v>410</v>
      </c>
      <c r="B411" s="14" t="s">
        <v>766</v>
      </c>
      <c r="C411" s="14">
        <v>28</v>
      </c>
      <c r="D411" s="14" t="str">
        <f>IFERROR(INDEX(Teams!$B$2:$B$49,MATCH($C411,Teams!$A$2:$A$49,0)),"")</f>
        <v>Ecuador</v>
      </c>
      <c r="E411" s="14" t="s">
        <v>363</v>
      </c>
      <c r="F411" s="14">
        <v>20</v>
      </c>
    </row>
    <row r="412" spans="1:6" x14ac:dyDescent="0.3">
      <c r="A412" s="14">
        <v>411</v>
      </c>
      <c r="B412" s="14" t="s">
        <v>767</v>
      </c>
      <c r="C412" s="14">
        <v>28</v>
      </c>
      <c r="D412" s="14" t="str">
        <f>IFERROR(INDEX(Teams!$B$2:$B$49,MATCH($C412,Teams!$A$2:$A$49,0)),"")</f>
        <v>Ecuador</v>
      </c>
      <c r="E412" s="14" t="s">
        <v>361</v>
      </c>
      <c r="F412" s="14">
        <v>21</v>
      </c>
    </row>
    <row r="413" spans="1:6" x14ac:dyDescent="0.3">
      <c r="A413" s="14">
        <v>412</v>
      </c>
      <c r="B413" s="14" t="s">
        <v>768</v>
      </c>
      <c r="C413" s="14">
        <v>28</v>
      </c>
      <c r="D413" s="14" t="str">
        <f>IFERROR(INDEX(Teams!$B$2:$B$49,MATCH($C413,Teams!$A$2:$A$49,0)),"")</f>
        <v>Ecuador</v>
      </c>
      <c r="E413" s="14" t="s">
        <v>354</v>
      </c>
      <c r="F413" s="14">
        <v>22</v>
      </c>
    </row>
    <row r="414" spans="1:6" x14ac:dyDescent="0.3">
      <c r="A414" s="14">
        <v>413</v>
      </c>
      <c r="B414" s="14" t="s">
        <v>769</v>
      </c>
      <c r="C414" s="14">
        <v>28</v>
      </c>
      <c r="D414" s="14" t="str">
        <f>IFERROR(INDEX(Teams!$B$2:$B$49,MATCH($C414,Teams!$A$2:$A$49,0)),"")</f>
        <v>Ecuador</v>
      </c>
      <c r="E414" s="14" t="s">
        <v>361</v>
      </c>
      <c r="F414" s="14">
        <v>23</v>
      </c>
    </row>
    <row r="415" spans="1:6" x14ac:dyDescent="0.3">
      <c r="A415" s="14">
        <v>414</v>
      </c>
      <c r="B415" s="14" t="s">
        <v>770</v>
      </c>
      <c r="C415" s="14">
        <v>28</v>
      </c>
      <c r="D415" s="14" t="str">
        <f>IFERROR(INDEX(Teams!$B$2:$B$49,MATCH($C415,Teams!$A$2:$A$49,0)),"")</f>
        <v>Ecuador</v>
      </c>
      <c r="E415" s="14" t="s">
        <v>363</v>
      </c>
      <c r="F415" s="14">
        <v>24</v>
      </c>
    </row>
    <row r="416" spans="1:6" x14ac:dyDescent="0.3">
      <c r="A416" s="14">
        <v>415</v>
      </c>
      <c r="B416" s="14" t="s">
        <v>771</v>
      </c>
      <c r="C416" s="14">
        <v>28</v>
      </c>
      <c r="D416" s="14" t="str">
        <f>IFERROR(INDEX(Teams!$B$2:$B$49,MATCH($C416,Teams!$A$2:$A$49,0)),"")</f>
        <v>Ecuador</v>
      </c>
      <c r="E416" s="14" t="s">
        <v>356</v>
      </c>
      <c r="F416" s="14">
        <v>25</v>
      </c>
    </row>
    <row r="417" spans="1:6" x14ac:dyDescent="0.3">
      <c r="A417" s="14">
        <v>416</v>
      </c>
      <c r="B417" s="14" t="s">
        <v>772</v>
      </c>
      <c r="C417" s="14">
        <v>28</v>
      </c>
      <c r="D417" s="14" t="str">
        <f>IFERROR(INDEX(Teams!$B$2:$B$49,MATCH($C417,Teams!$A$2:$A$49,0)),"")</f>
        <v>Ecuador</v>
      </c>
      <c r="E417" s="14" t="s">
        <v>356</v>
      </c>
      <c r="F417" s="14">
        <v>26</v>
      </c>
    </row>
    <row r="418" spans="1:6" x14ac:dyDescent="0.3">
      <c r="A418" s="14">
        <v>417</v>
      </c>
      <c r="B418" s="14" t="s">
        <v>773</v>
      </c>
      <c r="C418" s="14">
        <v>19</v>
      </c>
      <c r="D418" s="14" t="str">
        <f>IFERROR(INDEX(Teams!$B$2:$B$49,MATCH($C418,Teams!$A$2:$A$49,0)),"")</f>
        <v>Egypt</v>
      </c>
      <c r="E418" s="14" t="s">
        <v>354</v>
      </c>
      <c r="F418" s="14">
        <v>1</v>
      </c>
    </row>
    <row r="419" spans="1:6" x14ac:dyDescent="0.3">
      <c r="A419" s="14">
        <v>418</v>
      </c>
      <c r="B419" s="14" t="s">
        <v>774</v>
      </c>
      <c r="C419" s="14">
        <v>19</v>
      </c>
      <c r="D419" s="14" t="str">
        <f>IFERROR(INDEX(Teams!$B$2:$B$49,MATCH($C419,Teams!$A$2:$A$49,0)),"")</f>
        <v>Egypt</v>
      </c>
      <c r="E419" s="14" t="s">
        <v>356</v>
      </c>
      <c r="F419" s="14">
        <v>2</v>
      </c>
    </row>
    <row r="420" spans="1:6" x14ac:dyDescent="0.3">
      <c r="A420" s="14">
        <v>419</v>
      </c>
      <c r="B420" s="14" t="s">
        <v>775</v>
      </c>
      <c r="C420" s="14">
        <v>19</v>
      </c>
      <c r="D420" s="14" t="str">
        <f>IFERROR(INDEX(Teams!$B$2:$B$49,MATCH($C420,Teams!$A$2:$A$49,0)),"")</f>
        <v>Egypt</v>
      </c>
      <c r="E420" s="14" t="s">
        <v>356</v>
      </c>
      <c r="F420" s="14">
        <v>3</v>
      </c>
    </row>
    <row r="421" spans="1:6" x14ac:dyDescent="0.3">
      <c r="A421" s="14">
        <v>420</v>
      </c>
      <c r="B421" s="14" t="s">
        <v>776</v>
      </c>
      <c r="C421" s="14">
        <v>19</v>
      </c>
      <c r="D421" s="14" t="str">
        <f>IFERROR(INDEX(Teams!$B$2:$B$49,MATCH($C421,Teams!$A$2:$A$49,0)),"")</f>
        <v>Egypt</v>
      </c>
      <c r="E421" s="14" t="s">
        <v>356</v>
      </c>
      <c r="F421" s="14">
        <v>4</v>
      </c>
    </row>
    <row r="422" spans="1:6" x14ac:dyDescent="0.3">
      <c r="A422" s="14">
        <v>421</v>
      </c>
      <c r="B422" s="14" t="s">
        <v>777</v>
      </c>
      <c r="C422" s="14">
        <v>19</v>
      </c>
      <c r="D422" s="14" t="str">
        <f>IFERROR(INDEX(Teams!$B$2:$B$49,MATCH($C422,Teams!$A$2:$A$49,0)),"")</f>
        <v>Egypt</v>
      </c>
      <c r="E422" s="14" t="s">
        <v>356</v>
      </c>
      <c r="F422" s="14">
        <v>5</v>
      </c>
    </row>
    <row r="423" spans="1:6" x14ac:dyDescent="0.3">
      <c r="A423" s="14">
        <v>422</v>
      </c>
      <c r="B423" s="14" t="s">
        <v>778</v>
      </c>
      <c r="C423" s="14">
        <v>19</v>
      </c>
      <c r="D423" s="14" t="str">
        <f>IFERROR(INDEX(Teams!$B$2:$B$49,MATCH($C423,Teams!$A$2:$A$49,0)),"")</f>
        <v>Egypt</v>
      </c>
      <c r="E423" s="14" t="s">
        <v>356</v>
      </c>
      <c r="F423" s="14">
        <v>6</v>
      </c>
    </row>
    <row r="424" spans="1:6" x14ac:dyDescent="0.3">
      <c r="A424" s="14">
        <v>423</v>
      </c>
      <c r="B424" s="14" t="s">
        <v>779</v>
      </c>
      <c r="C424" s="14">
        <v>19</v>
      </c>
      <c r="D424" s="14" t="str">
        <f>IFERROR(INDEX(Teams!$B$2:$B$49,MATCH($C424,Teams!$A$2:$A$49,0)),"")</f>
        <v>Egypt</v>
      </c>
      <c r="E424" s="14" t="s">
        <v>363</v>
      </c>
      <c r="F424" s="14">
        <v>7</v>
      </c>
    </row>
    <row r="425" spans="1:6" x14ac:dyDescent="0.3">
      <c r="A425" s="14">
        <v>424</v>
      </c>
      <c r="B425" s="14" t="s">
        <v>780</v>
      </c>
      <c r="C425" s="14">
        <v>19</v>
      </c>
      <c r="D425" s="14" t="str">
        <f>IFERROR(INDEX(Teams!$B$2:$B$49,MATCH($C425,Teams!$A$2:$A$49,0)),"")</f>
        <v>Egypt</v>
      </c>
      <c r="E425" s="14" t="s">
        <v>361</v>
      </c>
      <c r="F425" s="14">
        <v>8</v>
      </c>
    </row>
    <row r="426" spans="1:6" x14ac:dyDescent="0.3">
      <c r="A426" s="14">
        <v>425</v>
      </c>
      <c r="B426" s="14" t="s">
        <v>781</v>
      </c>
      <c r="C426" s="14">
        <v>19</v>
      </c>
      <c r="D426" s="14" t="str">
        <f>IFERROR(INDEX(Teams!$B$2:$B$49,MATCH($C426,Teams!$A$2:$A$49,0)),"")</f>
        <v>Egypt</v>
      </c>
      <c r="E426" s="14" t="s">
        <v>363</v>
      </c>
      <c r="F426" s="14">
        <v>9</v>
      </c>
    </row>
    <row r="427" spans="1:6" x14ac:dyDescent="0.3">
      <c r="A427" s="14">
        <v>426</v>
      </c>
      <c r="B427" s="14" t="s">
        <v>782</v>
      </c>
      <c r="C427" s="14">
        <v>19</v>
      </c>
      <c r="D427" s="14" t="str">
        <f>IFERROR(INDEX(Teams!$B$2:$B$49,MATCH($C427,Teams!$A$2:$A$49,0)),"")</f>
        <v>Egypt</v>
      </c>
      <c r="E427" s="14" t="s">
        <v>363</v>
      </c>
      <c r="F427" s="14">
        <v>10</v>
      </c>
    </row>
    <row r="428" spans="1:6" x14ac:dyDescent="0.3">
      <c r="A428" s="14">
        <v>427</v>
      </c>
      <c r="B428" s="14" t="s">
        <v>783</v>
      </c>
      <c r="C428" s="14">
        <v>19</v>
      </c>
      <c r="D428" s="14" t="str">
        <f>IFERROR(INDEX(Teams!$B$2:$B$49,MATCH($C428,Teams!$A$2:$A$49,0)),"")</f>
        <v>Egypt</v>
      </c>
      <c r="E428" s="14" t="s">
        <v>361</v>
      </c>
      <c r="F428" s="14">
        <v>11</v>
      </c>
    </row>
    <row r="429" spans="1:6" x14ac:dyDescent="0.3">
      <c r="A429" s="14">
        <v>428</v>
      </c>
      <c r="B429" s="14" t="s">
        <v>784</v>
      </c>
      <c r="C429" s="14">
        <v>19</v>
      </c>
      <c r="D429" s="14" t="str">
        <f>IFERROR(INDEX(Teams!$B$2:$B$49,MATCH($C429,Teams!$A$2:$A$49,0)),"")</f>
        <v>Egypt</v>
      </c>
      <c r="E429" s="14" t="s">
        <v>363</v>
      </c>
      <c r="F429" s="14">
        <v>12</v>
      </c>
    </row>
    <row r="430" spans="1:6" x14ac:dyDescent="0.3">
      <c r="A430" s="14">
        <v>429</v>
      </c>
      <c r="B430" s="14" t="s">
        <v>785</v>
      </c>
      <c r="C430" s="14">
        <v>19</v>
      </c>
      <c r="D430" s="14" t="str">
        <f>IFERROR(INDEX(Teams!$B$2:$B$49,MATCH($C430,Teams!$A$2:$A$49,0)),"")</f>
        <v>Egypt</v>
      </c>
      <c r="E430" s="14" t="s">
        <v>356</v>
      </c>
      <c r="F430" s="14">
        <v>13</v>
      </c>
    </row>
    <row r="431" spans="1:6" x14ac:dyDescent="0.3">
      <c r="A431" s="14">
        <v>430</v>
      </c>
      <c r="B431" s="14" t="s">
        <v>786</v>
      </c>
      <c r="C431" s="14">
        <v>19</v>
      </c>
      <c r="D431" s="14" t="str">
        <f>IFERROR(INDEX(Teams!$B$2:$B$49,MATCH($C431,Teams!$A$2:$A$49,0)),"")</f>
        <v>Egypt</v>
      </c>
      <c r="E431" s="14" t="s">
        <v>361</v>
      </c>
      <c r="F431" s="14">
        <v>14</v>
      </c>
    </row>
    <row r="432" spans="1:6" x14ac:dyDescent="0.3">
      <c r="A432" s="14">
        <v>431</v>
      </c>
      <c r="B432" s="14" t="s">
        <v>787</v>
      </c>
      <c r="C432" s="14">
        <v>19</v>
      </c>
      <c r="D432" s="14" t="str">
        <f>IFERROR(INDEX(Teams!$B$2:$B$49,MATCH($C432,Teams!$A$2:$A$49,0)),"")</f>
        <v>Egypt</v>
      </c>
      <c r="E432" s="14" t="s">
        <v>356</v>
      </c>
      <c r="F432" s="14">
        <v>15</v>
      </c>
    </row>
    <row r="433" spans="1:6" x14ac:dyDescent="0.3">
      <c r="A433" s="14">
        <v>432</v>
      </c>
      <c r="B433" s="14" t="s">
        <v>788</v>
      </c>
      <c r="C433" s="14">
        <v>19</v>
      </c>
      <c r="D433" s="14" t="str">
        <f>IFERROR(INDEX(Teams!$B$2:$B$49,MATCH($C433,Teams!$A$2:$A$49,0)),"")</f>
        <v>Egypt</v>
      </c>
      <c r="E433" s="14" t="s">
        <v>354</v>
      </c>
      <c r="F433" s="14">
        <v>16</v>
      </c>
    </row>
    <row r="434" spans="1:6" x14ac:dyDescent="0.3">
      <c r="A434" s="14">
        <v>433</v>
      </c>
      <c r="B434" s="14" t="s">
        <v>789</v>
      </c>
      <c r="C434" s="14">
        <v>19</v>
      </c>
      <c r="D434" s="14" t="str">
        <f>IFERROR(INDEX(Teams!$B$2:$B$49,MATCH($C434,Teams!$A$2:$A$49,0)),"")</f>
        <v>Egypt</v>
      </c>
      <c r="E434" s="14" t="s">
        <v>361</v>
      </c>
      <c r="F434" s="14">
        <v>17</v>
      </c>
    </row>
    <row r="435" spans="1:6" x14ac:dyDescent="0.3">
      <c r="A435" s="14">
        <v>434</v>
      </c>
      <c r="B435" s="14" t="s">
        <v>790</v>
      </c>
      <c r="C435" s="14">
        <v>19</v>
      </c>
      <c r="D435" s="14" t="str">
        <f>IFERROR(INDEX(Teams!$B$2:$B$49,MATCH($C435,Teams!$A$2:$A$49,0)),"")</f>
        <v>Egypt</v>
      </c>
      <c r="E435" s="14" t="s">
        <v>361</v>
      </c>
      <c r="F435" s="14">
        <v>18</v>
      </c>
    </row>
    <row r="436" spans="1:6" x14ac:dyDescent="0.3">
      <c r="A436" s="14">
        <v>435</v>
      </c>
      <c r="B436" s="14" t="s">
        <v>791</v>
      </c>
      <c r="C436" s="14">
        <v>19</v>
      </c>
      <c r="D436" s="14" t="str">
        <f>IFERROR(INDEX(Teams!$B$2:$B$49,MATCH($C436,Teams!$A$2:$A$49,0)),"")</f>
        <v>Egypt</v>
      </c>
      <c r="E436" s="14" t="s">
        <v>361</v>
      </c>
      <c r="F436" s="14">
        <v>19</v>
      </c>
    </row>
    <row r="437" spans="1:6" x14ac:dyDescent="0.3">
      <c r="A437" s="14">
        <v>436</v>
      </c>
      <c r="B437" s="14" t="s">
        <v>792</v>
      </c>
      <c r="C437" s="14">
        <v>19</v>
      </c>
      <c r="D437" s="14" t="str">
        <f>IFERROR(INDEX(Teams!$B$2:$B$49,MATCH($C437,Teams!$A$2:$A$49,0)),"")</f>
        <v>Egypt</v>
      </c>
      <c r="E437" s="14" t="s">
        <v>363</v>
      </c>
      <c r="F437" s="14">
        <v>20</v>
      </c>
    </row>
    <row r="438" spans="1:6" x14ac:dyDescent="0.3">
      <c r="A438" s="14">
        <v>437</v>
      </c>
      <c r="B438" s="14" t="s">
        <v>793</v>
      </c>
      <c r="C438" s="14">
        <v>19</v>
      </c>
      <c r="D438" s="14" t="str">
        <f>IFERROR(INDEX(Teams!$B$2:$B$49,MATCH($C438,Teams!$A$2:$A$49,0)),"")</f>
        <v>Egypt</v>
      </c>
      <c r="E438" s="14" t="s">
        <v>361</v>
      </c>
      <c r="F438" s="14">
        <v>21</v>
      </c>
    </row>
    <row r="439" spans="1:6" x14ac:dyDescent="0.3">
      <c r="A439" s="14">
        <v>438</v>
      </c>
      <c r="B439" s="14" t="s">
        <v>794</v>
      </c>
      <c r="C439" s="14">
        <v>19</v>
      </c>
      <c r="D439" s="14" t="str">
        <f>IFERROR(INDEX(Teams!$B$2:$B$49,MATCH($C439,Teams!$A$2:$A$49,0)),"")</f>
        <v>Egypt</v>
      </c>
      <c r="E439" s="14" t="s">
        <v>363</v>
      </c>
      <c r="F439" s="14">
        <v>22</v>
      </c>
    </row>
    <row r="440" spans="1:6" x14ac:dyDescent="0.3">
      <c r="A440" s="14">
        <v>439</v>
      </c>
      <c r="B440" s="14" t="s">
        <v>795</v>
      </c>
      <c r="C440" s="14">
        <v>19</v>
      </c>
      <c r="D440" s="14" t="str">
        <f>IFERROR(INDEX(Teams!$B$2:$B$49,MATCH($C440,Teams!$A$2:$A$49,0)),"")</f>
        <v>Egypt</v>
      </c>
      <c r="E440" s="14" t="s">
        <v>354</v>
      </c>
      <c r="F440" s="14">
        <v>23</v>
      </c>
    </row>
    <row r="441" spans="1:6" x14ac:dyDescent="0.3">
      <c r="A441" s="14">
        <v>440</v>
      </c>
      <c r="B441" s="14" t="s">
        <v>796</v>
      </c>
      <c r="C441" s="14">
        <v>19</v>
      </c>
      <c r="D441" s="14" t="str">
        <f>IFERROR(INDEX(Teams!$B$2:$B$49,MATCH($C441,Teams!$A$2:$A$49,0)),"")</f>
        <v>Egypt</v>
      </c>
      <c r="E441" s="14" t="s">
        <v>356</v>
      </c>
      <c r="F441" s="14">
        <v>24</v>
      </c>
    </row>
    <row r="442" spans="1:6" x14ac:dyDescent="0.3">
      <c r="A442" s="14">
        <v>441</v>
      </c>
      <c r="B442" s="14" t="s">
        <v>797</v>
      </c>
      <c r="C442" s="14">
        <v>19</v>
      </c>
      <c r="D442" s="14" t="str">
        <f>IFERROR(INDEX(Teams!$B$2:$B$49,MATCH($C442,Teams!$A$2:$A$49,0)),"")</f>
        <v>Egypt</v>
      </c>
      <c r="E442" s="14" t="s">
        <v>363</v>
      </c>
      <c r="F442" s="14">
        <v>25</v>
      </c>
    </row>
    <row r="443" spans="1:6" x14ac:dyDescent="0.3">
      <c r="A443" s="14">
        <v>442</v>
      </c>
      <c r="B443" s="14" t="s">
        <v>798</v>
      </c>
      <c r="C443" s="14">
        <v>19</v>
      </c>
      <c r="D443" s="14" t="str">
        <f>IFERROR(INDEX(Teams!$B$2:$B$49,MATCH($C443,Teams!$A$2:$A$49,0)),"")</f>
        <v>Egypt</v>
      </c>
      <c r="E443" s="14" t="s">
        <v>354</v>
      </c>
      <c r="F443" s="14">
        <v>26</v>
      </c>
    </row>
    <row r="444" spans="1:6" x14ac:dyDescent="0.3">
      <c r="A444" s="14">
        <v>443</v>
      </c>
      <c r="B444" s="14" t="s">
        <v>799</v>
      </c>
      <c r="C444" s="14">
        <v>5</v>
      </c>
      <c r="D444" s="14" t="str">
        <f>IFERROR(INDEX(Teams!$B$2:$B$49,MATCH($C444,Teams!$A$2:$A$49,0)),"")</f>
        <v>England</v>
      </c>
      <c r="E444" s="14" t="s">
        <v>354</v>
      </c>
      <c r="F444" s="14">
        <v>1</v>
      </c>
    </row>
    <row r="445" spans="1:6" x14ac:dyDescent="0.3">
      <c r="A445" s="14">
        <v>444</v>
      </c>
      <c r="B445" s="14" t="s">
        <v>800</v>
      </c>
      <c r="C445" s="14">
        <v>5</v>
      </c>
      <c r="D445" s="14" t="str">
        <f>IFERROR(INDEX(Teams!$B$2:$B$49,MATCH($C445,Teams!$A$2:$A$49,0)),"")</f>
        <v>England</v>
      </c>
      <c r="E445" s="14" t="s">
        <v>356</v>
      </c>
      <c r="F445" s="14">
        <v>2</v>
      </c>
    </row>
    <row r="446" spans="1:6" x14ac:dyDescent="0.3">
      <c r="A446" s="14">
        <v>445</v>
      </c>
      <c r="B446" s="14" t="s">
        <v>801</v>
      </c>
      <c r="C446" s="14">
        <v>5</v>
      </c>
      <c r="D446" s="14" t="str">
        <f>IFERROR(INDEX(Teams!$B$2:$B$49,MATCH($C446,Teams!$A$2:$A$49,0)),"")</f>
        <v>England</v>
      </c>
      <c r="E446" s="14" t="s">
        <v>356</v>
      </c>
      <c r="F446" s="14">
        <v>3</v>
      </c>
    </row>
    <row r="447" spans="1:6" x14ac:dyDescent="0.3">
      <c r="A447" s="14">
        <v>446</v>
      </c>
      <c r="B447" s="14" t="s">
        <v>802</v>
      </c>
      <c r="C447" s="14">
        <v>5</v>
      </c>
      <c r="D447" s="14" t="str">
        <f>IFERROR(INDEX(Teams!$B$2:$B$49,MATCH($C447,Teams!$A$2:$A$49,0)),"")</f>
        <v>England</v>
      </c>
      <c r="E447" s="14" t="s">
        <v>361</v>
      </c>
      <c r="F447" s="14">
        <v>4</v>
      </c>
    </row>
    <row r="448" spans="1:6" x14ac:dyDescent="0.3">
      <c r="A448" s="14">
        <v>447</v>
      </c>
      <c r="B448" s="14" t="s">
        <v>803</v>
      </c>
      <c r="C448" s="14">
        <v>5</v>
      </c>
      <c r="D448" s="14" t="str">
        <f>IFERROR(INDEX(Teams!$B$2:$B$49,MATCH($C448,Teams!$A$2:$A$49,0)),"")</f>
        <v>England</v>
      </c>
      <c r="E448" s="14" t="s">
        <v>356</v>
      </c>
      <c r="F448" s="14">
        <v>5</v>
      </c>
    </row>
    <row r="449" spans="1:6" x14ac:dyDescent="0.3">
      <c r="A449" s="14">
        <v>448</v>
      </c>
      <c r="B449" s="14" t="s">
        <v>804</v>
      </c>
      <c r="C449" s="14">
        <v>5</v>
      </c>
      <c r="D449" s="14" t="str">
        <f>IFERROR(INDEX(Teams!$B$2:$B$49,MATCH($C449,Teams!$A$2:$A$49,0)),"")</f>
        <v>England</v>
      </c>
      <c r="E449" s="14" t="s">
        <v>356</v>
      </c>
      <c r="F449" s="14">
        <v>6</v>
      </c>
    </row>
    <row r="450" spans="1:6" x14ac:dyDescent="0.3">
      <c r="A450" s="14">
        <v>449</v>
      </c>
      <c r="B450" s="14" t="s">
        <v>805</v>
      </c>
      <c r="C450" s="14">
        <v>5</v>
      </c>
      <c r="D450" s="14" t="str">
        <f>IFERROR(INDEX(Teams!$B$2:$B$49,MATCH($C450,Teams!$A$2:$A$49,0)),"")</f>
        <v>England</v>
      </c>
      <c r="E450" s="14" t="s">
        <v>363</v>
      </c>
      <c r="F450" s="14">
        <v>7</v>
      </c>
    </row>
    <row r="451" spans="1:6" x14ac:dyDescent="0.3">
      <c r="A451" s="14">
        <v>450</v>
      </c>
      <c r="B451" s="14" t="s">
        <v>806</v>
      </c>
      <c r="C451" s="14">
        <v>5</v>
      </c>
      <c r="D451" s="14" t="str">
        <f>IFERROR(INDEX(Teams!$B$2:$B$49,MATCH($C451,Teams!$A$2:$A$49,0)),"")</f>
        <v>England</v>
      </c>
      <c r="E451" s="14" t="s">
        <v>361</v>
      </c>
      <c r="F451" s="14">
        <v>8</v>
      </c>
    </row>
    <row r="452" spans="1:6" x14ac:dyDescent="0.3">
      <c r="A452" s="14">
        <v>451</v>
      </c>
      <c r="B452" s="14" t="s">
        <v>807</v>
      </c>
      <c r="C452" s="14">
        <v>5</v>
      </c>
      <c r="D452" s="14" t="str">
        <f>IFERROR(INDEX(Teams!$B$2:$B$49,MATCH($C452,Teams!$A$2:$A$49,0)),"")</f>
        <v>England</v>
      </c>
      <c r="E452" s="14" t="s">
        <v>363</v>
      </c>
      <c r="F452" s="14">
        <v>9</v>
      </c>
    </row>
    <row r="453" spans="1:6" x14ac:dyDescent="0.3">
      <c r="A453" s="14">
        <v>452</v>
      </c>
      <c r="B453" s="14" t="s">
        <v>808</v>
      </c>
      <c r="C453" s="14">
        <v>5</v>
      </c>
      <c r="D453" s="14" t="str">
        <f>IFERROR(INDEX(Teams!$B$2:$B$49,MATCH($C453,Teams!$A$2:$A$49,0)),"")</f>
        <v>England</v>
      </c>
      <c r="E453" s="14" t="s">
        <v>361</v>
      </c>
      <c r="F453" s="14">
        <v>10</v>
      </c>
    </row>
    <row r="454" spans="1:6" x14ac:dyDescent="0.3">
      <c r="A454" s="14">
        <v>453</v>
      </c>
      <c r="B454" s="14" t="s">
        <v>809</v>
      </c>
      <c r="C454" s="14">
        <v>5</v>
      </c>
      <c r="D454" s="14" t="str">
        <f>IFERROR(INDEX(Teams!$B$2:$B$49,MATCH($C454,Teams!$A$2:$A$49,0)),"")</f>
        <v>England</v>
      </c>
      <c r="E454" s="14" t="s">
        <v>363</v>
      </c>
      <c r="F454" s="14">
        <v>11</v>
      </c>
    </row>
    <row r="455" spans="1:6" x14ac:dyDescent="0.3">
      <c r="A455" s="14">
        <v>454</v>
      </c>
      <c r="B455" s="14" t="s">
        <v>810</v>
      </c>
      <c r="C455" s="14">
        <v>5</v>
      </c>
      <c r="D455" s="14" t="str">
        <f>IFERROR(INDEX(Teams!$B$2:$B$49,MATCH($C455,Teams!$A$2:$A$49,0)),"")</f>
        <v>England</v>
      </c>
      <c r="E455" s="14" t="s">
        <v>356</v>
      </c>
      <c r="F455" s="14">
        <v>12</v>
      </c>
    </row>
    <row r="456" spans="1:6" x14ac:dyDescent="0.3">
      <c r="A456" s="14">
        <v>455</v>
      </c>
      <c r="B456" s="14" t="s">
        <v>811</v>
      </c>
      <c r="C456" s="14">
        <v>5</v>
      </c>
      <c r="D456" s="14" t="str">
        <f>IFERROR(INDEX(Teams!$B$2:$B$49,MATCH($C456,Teams!$A$2:$A$49,0)),"")</f>
        <v>England</v>
      </c>
      <c r="E456" s="14" t="s">
        <v>354</v>
      </c>
      <c r="F456" s="14">
        <v>13</v>
      </c>
    </row>
    <row r="457" spans="1:6" x14ac:dyDescent="0.3">
      <c r="A457" s="14">
        <v>456</v>
      </c>
      <c r="B457" s="14" t="s">
        <v>812</v>
      </c>
      <c r="C457" s="14">
        <v>5</v>
      </c>
      <c r="D457" s="14" t="str">
        <f>IFERROR(INDEX(Teams!$B$2:$B$49,MATCH($C457,Teams!$A$2:$A$49,0)),"")</f>
        <v>England</v>
      </c>
      <c r="E457" s="14" t="s">
        <v>361</v>
      </c>
      <c r="F457" s="14">
        <v>14</v>
      </c>
    </row>
    <row r="458" spans="1:6" x14ac:dyDescent="0.3">
      <c r="A458" s="14">
        <v>457</v>
      </c>
      <c r="B458" s="14" t="s">
        <v>813</v>
      </c>
      <c r="C458" s="14">
        <v>5</v>
      </c>
      <c r="D458" s="14" t="str">
        <f>IFERROR(INDEX(Teams!$B$2:$B$49,MATCH($C458,Teams!$A$2:$A$49,0)),"")</f>
        <v>England</v>
      </c>
      <c r="E458" s="14" t="s">
        <v>356</v>
      </c>
      <c r="F458" s="14">
        <v>15</v>
      </c>
    </row>
    <row r="459" spans="1:6" x14ac:dyDescent="0.3">
      <c r="A459" s="14">
        <v>458</v>
      </c>
      <c r="B459" s="14" t="s">
        <v>814</v>
      </c>
      <c r="C459" s="14">
        <v>5</v>
      </c>
      <c r="D459" s="14" t="str">
        <f>IFERROR(INDEX(Teams!$B$2:$B$49,MATCH($C459,Teams!$A$2:$A$49,0)),"")</f>
        <v>England</v>
      </c>
      <c r="E459" s="14" t="s">
        <v>361</v>
      </c>
      <c r="F459" s="14">
        <v>16</v>
      </c>
    </row>
    <row r="460" spans="1:6" x14ac:dyDescent="0.3">
      <c r="A460" s="14">
        <v>459</v>
      </c>
      <c r="B460" s="14" t="s">
        <v>815</v>
      </c>
      <c r="C460" s="14">
        <v>5</v>
      </c>
      <c r="D460" s="14" t="str">
        <f>IFERROR(INDEX(Teams!$B$2:$B$49,MATCH($C460,Teams!$A$2:$A$49,0)),"")</f>
        <v>England</v>
      </c>
      <c r="E460" s="14" t="s">
        <v>361</v>
      </c>
      <c r="F460" s="14">
        <v>17</v>
      </c>
    </row>
    <row r="461" spans="1:6" x14ac:dyDescent="0.3">
      <c r="A461" s="14">
        <v>460</v>
      </c>
      <c r="B461" s="14" t="s">
        <v>816</v>
      </c>
      <c r="C461" s="14">
        <v>5</v>
      </c>
      <c r="D461" s="14" t="str">
        <f>IFERROR(INDEX(Teams!$B$2:$B$49,MATCH($C461,Teams!$A$2:$A$49,0)),"")</f>
        <v>England</v>
      </c>
      <c r="E461" s="14" t="s">
        <v>363</v>
      </c>
      <c r="F461" s="14">
        <v>18</v>
      </c>
    </row>
    <row r="462" spans="1:6" x14ac:dyDescent="0.3">
      <c r="A462" s="14">
        <v>461</v>
      </c>
      <c r="B462" s="14" t="s">
        <v>817</v>
      </c>
      <c r="C462" s="14">
        <v>5</v>
      </c>
      <c r="D462" s="14" t="str">
        <f>IFERROR(INDEX(Teams!$B$2:$B$49,MATCH($C462,Teams!$A$2:$A$49,0)),"")</f>
        <v>England</v>
      </c>
      <c r="E462" s="14" t="s">
        <v>363</v>
      </c>
      <c r="F462" s="14">
        <v>19</v>
      </c>
    </row>
    <row r="463" spans="1:6" x14ac:dyDescent="0.3">
      <c r="A463" s="14">
        <v>462</v>
      </c>
      <c r="B463" s="14" t="s">
        <v>818</v>
      </c>
      <c r="C463" s="14">
        <v>5</v>
      </c>
      <c r="D463" s="14" t="str">
        <f>IFERROR(INDEX(Teams!$B$2:$B$49,MATCH($C463,Teams!$A$2:$A$49,0)),"")</f>
        <v>England</v>
      </c>
      <c r="E463" s="14" t="s">
        <v>363</v>
      </c>
      <c r="F463" s="14">
        <v>20</v>
      </c>
    </row>
    <row r="464" spans="1:6" x14ac:dyDescent="0.3">
      <c r="A464" s="14">
        <v>463</v>
      </c>
      <c r="B464" s="14" t="s">
        <v>819</v>
      </c>
      <c r="C464" s="14">
        <v>5</v>
      </c>
      <c r="D464" s="14" t="str">
        <f>IFERROR(INDEX(Teams!$B$2:$B$49,MATCH($C464,Teams!$A$2:$A$49,0)),"")</f>
        <v>England</v>
      </c>
      <c r="E464" s="14" t="s">
        <v>361</v>
      </c>
      <c r="F464" s="14">
        <v>21</v>
      </c>
    </row>
    <row r="465" spans="1:6" x14ac:dyDescent="0.3">
      <c r="A465" s="14">
        <v>464</v>
      </c>
      <c r="B465" s="14" t="s">
        <v>820</v>
      </c>
      <c r="C465" s="14">
        <v>5</v>
      </c>
      <c r="D465" s="14" t="str">
        <f>IFERROR(INDEX(Teams!$B$2:$B$49,MATCH($C465,Teams!$A$2:$A$49,0)),"")</f>
        <v>England</v>
      </c>
      <c r="E465" s="14" t="s">
        <v>363</v>
      </c>
      <c r="F465" s="14">
        <v>22</v>
      </c>
    </row>
    <row r="466" spans="1:6" x14ac:dyDescent="0.3">
      <c r="A466" s="14">
        <v>465</v>
      </c>
      <c r="B466" s="14" t="s">
        <v>821</v>
      </c>
      <c r="C466" s="14">
        <v>5</v>
      </c>
      <c r="D466" s="14" t="str">
        <f>IFERROR(INDEX(Teams!$B$2:$B$49,MATCH($C466,Teams!$A$2:$A$49,0)),"")</f>
        <v>England</v>
      </c>
      <c r="E466" s="14" t="s">
        <v>354</v>
      </c>
      <c r="F466" s="14">
        <v>23</v>
      </c>
    </row>
    <row r="467" spans="1:6" x14ac:dyDescent="0.3">
      <c r="A467" s="14">
        <v>466</v>
      </c>
      <c r="B467" s="14" t="s">
        <v>822</v>
      </c>
      <c r="C467" s="14">
        <v>5</v>
      </c>
      <c r="D467" s="14" t="str">
        <f>IFERROR(INDEX(Teams!$B$2:$B$49,MATCH($C467,Teams!$A$2:$A$49,0)),"")</f>
        <v>England</v>
      </c>
      <c r="E467" s="14" t="s">
        <v>356</v>
      </c>
      <c r="F467" s="14">
        <v>24</v>
      </c>
    </row>
    <row r="468" spans="1:6" x14ac:dyDescent="0.3">
      <c r="A468" s="14">
        <v>467</v>
      </c>
      <c r="B468" s="14" t="s">
        <v>823</v>
      </c>
      <c r="C468" s="14">
        <v>5</v>
      </c>
      <c r="D468" s="14" t="str">
        <f>IFERROR(INDEX(Teams!$B$2:$B$49,MATCH($C468,Teams!$A$2:$A$49,0)),"")</f>
        <v>England</v>
      </c>
      <c r="E468" s="14" t="s">
        <v>356</v>
      </c>
      <c r="F468" s="14">
        <v>25</v>
      </c>
    </row>
    <row r="469" spans="1:6" x14ac:dyDescent="0.3">
      <c r="A469" s="14">
        <v>468</v>
      </c>
      <c r="B469" s="14" t="s">
        <v>824</v>
      </c>
      <c r="C469" s="14">
        <v>5</v>
      </c>
      <c r="D469" s="14" t="str">
        <f>IFERROR(INDEX(Teams!$B$2:$B$49,MATCH($C469,Teams!$A$2:$A$49,0)),"")</f>
        <v>England</v>
      </c>
      <c r="E469" s="14" t="s">
        <v>356</v>
      </c>
      <c r="F469" s="14">
        <v>26</v>
      </c>
    </row>
    <row r="470" spans="1:6" x14ac:dyDescent="0.3">
      <c r="A470" s="14">
        <v>469</v>
      </c>
      <c r="B470" s="14" t="s">
        <v>825</v>
      </c>
      <c r="C470" s="14">
        <v>6</v>
      </c>
      <c r="D470" s="14" t="str">
        <f>IFERROR(INDEX(Teams!$B$2:$B$49,MATCH($C470,Teams!$A$2:$A$49,0)),"")</f>
        <v>France</v>
      </c>
      <c r="E470" s="14" t="s">
        <v>354</v>
      </c>
      <c r="F470" s="14">
        <v>1</v>
      </c>
    </row>
    <row r="471" spans="1:6" x14ac:dyDescent="0.3">
      <c r="A471" s="14">
        <v>470</v>
      </c>
      <c r="B471" s="14" t="s">
        <v>826</v>
      </c>
      <c r="C471" s="14">
        <v>6</v>
      </c>
      <c r="D471" s="14" t="str">
        <f>IFERROR(INDEX(Teams!$B$2:$B$49,MATCH($C471,Teams!$A$2:$A$49,0)),"")</f>
        <v>France</v>
      </c>
      <c r="E471" s="14" t="s">
        <v>356</v>
      </c>
      <c r="F471" s="14">
        <v>2</v>
      </c>
    </row>
    <row r="472" spans="1:6" x14ac:dyDescent="0.3">
      <c r="A472" s="14">
        <v>471</v>
      </c>
      <c r="B472" s="14" t="s">
        <v>827</v>
      </c>
      <c r="C472" s="14">
        <v>6</v>
      </c>
      <c r="D472" s="14" t="str">
        <f>IFERROR(INDEX(Teams!$B$2:$B$49,MATCH($C472,Teams!$A$2:$A$49,0)),"")</f>
        <v>France</v>
      </c>
      <c r="E472" s="14" t="s">
        <v>356</v>
      </c>
      <c r="F472" s="14">
        <v>3</v>
      </c>
    </row>
    <row r="473" spans="1:6" x14ac:dyDescent="0.3">
      <c r="A473" s="14">
        <v>472</v>
      </c>
      <c r="B473" s="14" t="s">
        <v>828</v>
      </c>
      <c r="C473" s="14">
        <v>6</v>
      </c>
      <c r="D473" s="14" t="str">
        <f>IFERROR(INDEX(Teams!$B$2:$B$49,MATCH($C473,Teams!$A$2:$A$49,0)),"")</f>
        <v>France</v>
      </c>
      <c r="E473" s="14" t="s">
        <v>356</v>
      </c>
      <c r="F473" s="14">
        <v>4</v>
      </c>
    </row>
    <row r="474" spans="1:6" x14ac:dyDescent="0.3">
      <c r="A474" s="14">
        <v>473</v>
      </c>
      <c r="B474" s="14" t="s">
        <v>829</v>
      </c>
      <c r="C474" s="14">
        <v>6</v>
      </c>
      <c r="D474" s="14" t="str">
        <f>IFERROR(INDEX(Teams!$B$2:$B$49,MATCH($C474,Teams!$A$2:$A$49,0)),"")</f>
        <v>France</v>
      </c>
      <c r="E474" s="14" t="s">
        <v>356</v>
      </c>
      <c r="F474" s="14">
        <v>5</v>
      </c>
    </row>
    <row r="475" spans="1:6" x14ac:dyDescent="0.3">
      <c r="A475" s="14">
        <v>474</v>
      </c>
      <c r="B475" s="14" t="s">
        <v>830</v>
      </c>
      <c r="C475" s="14">
        <v>6</v>
      </c>
      <c r="D475" s="14" t="str">
        <f>IFERROR(INDEX(Teams!$B$2:$B$49,MATCH($C475,Teams!$A$2:$A$49,0)),"")</f>
        <v>France</v>
      </c>
      <c r="E475" s="14" t="s">
        <v>361</v>
      </c>
      <c r="F475" s="14">
        <v>6</v>
      </c>
    </row>
    <row r="476" spans="1:6" x14ac:dyDescent="0.3">
      <c r="A476" s="14">
        <v>475</v>
      </c>
      <c r="B476" s="14" t="s">
        <v>831</v>
      </c>
      <c r="C476" s="14">
        <v>6</v>
      </c>
      <c r="D476" s="14" t="str">
        <f>IFERROR(INDEX(Teams!$B$2:$B$49,MATCH($C476,Teams!$A$2:$A$49,0)),"")</f>
        <v>France</v>
      </c>
      <c r="E476" s="14" t="s">
        <v>363</v>
      </c>
      <c r="F476" s="14">
        <v>7</v>
      </c>
    </row>
    <row r="477" spans="1:6" x14ac:dyDescent="0.3">
      <c r="A477" s="14">
        <v>476</v>
      </c>
      <c r="B477" s="14" t="s">
        <v>832</v>
      </c>
      <c r="C477" s="14">
        <v>6</v>
      </c>
      <c r="D477" s="14" t="str">
        <f>IFERROR(INDEX(Teams!$B$2:$B$49,MATCH($C477,Teams!$A$2:$A$49,0)),"")</f>
        <v>France</v>
      </c>
      <c r="E477" s="14" t="s">
        <v>361</v>
      </c>
      <c r="F477" s="14">
        <v>8</v>
      </c>
    </row>
    <row r="478" spans="1:6" x14ac:dyDescent="0.3">
      <c r="A478" s="14">
        <v>477</v>
      </c>
      <c r="B478" s="14" t="s">
        <v>833</v>
      </c>
      <c r="C478" s="14">
        <v>6</v>
      </c>
      <c r="D478" s="14" t="str">
        <f>IFERROR(INDEX(Teams!$B$2:$B$49,MATCH($C478,Teams!$A$2:$A$49,0)),"")</f>
        <v>France</v>
      </c>
      <c r="E478" s="14" t="s">
        <v>363</v>
      </c>
      <c r="F478" s="14">
        <v>9</v>
      </c>
    </row>
    <row r="479" spans="1:6" x14ac:dyDescent="0.3">
      <c r="A479" s="14">
        <v>478</v>
      </c>
      <c r="B479" s="14" t="s">
        <v>834</v>
      </c>
      <c r="C479" s="14">
        <v>6</v>
      </c>
      <c r="D479" s="14" t="str">
        <f>IFERROR(INDEX(Teams!$B$2:$B$49,MATCH($C479,Teams!$A$2:$A$49,0)),"")</f>
        <v>France</v>
      </c>
      <c r="E479" s="14" t="s">
        <v>363</v>
      </c>
      <c r="F479" s="14">
        <v>10</v>
      </c>
    </row>
    <row r="480" spans="1:6" x14ac:dyDescent="0.3">
      <c r="A480" s="14">
        <v>479</v>
      </c>
      <c r="B480" s="14" t="s">
        <v>835</v>
      </c>
      <c r="C480" s="14">
        <v>6</v>
      </c>
      <c r="D480" s="14" t="str">
        <f>IFERROR(INDEX(Teams!$B$2:$B$49,MATCH($C480,Teams!$A$2:$A$49,0)),"")</f>
        <v>France</v>
      </c>
      <c r="E480" s="14" t="s">
        <v>363</v>
      </c>
      <c r="F480" s="14">
        <v>11</v>
      </c>
    </row>
    <row r="481" spans="1:6" x14ac:dyDescent="0.3">
      <c r="A481" s="14">
        <v>480</v>
      </c>
      <c r="B481" s="14" t="s">
        <v>836</v>
      </c>
      <c r="C481" s="14">
        <v>6</v>
      </c>
      <c r="D481" s="14" t="str">
        <f>IFERROR(INDEX(Teams!$B$2:$B$49,MATCH($C481,Teams!$A$2:$A$49,0)),"")</f>
        <v>France</v>
      </c>
      <c r="E481" s="14" t="s">
        <v>363</v>
      </c>
      <c r="F481" s="14">
        <v>12</v>
      </c>
    </row>
    <row r="482" spans="1:6" x14ac:dyDescent="0.3">
      <c r="A482" s="14">
        <v>481</v>
      </c>
      <c r="B482" s="14" t="s">
        <v>837</v>
      </c>
      <c r="C482" s="14">
        <v>6</v>
      </c>
      <c r="D482" s="14" t="str">
        <f>IFERROR(INDEX(Teams!$B$2:$B$49,MATCH($C482,Teams!$A$2:$A$49,0)),"")</f>
        <v>France</v>
      </c>
      <c r="E482" s="14" t="s">
        <v>361</v>
      </c>
      <c r="F482" s="14">
        <v>13</v>
      </c>
    </row>
    <row r="483" spans="1:6" x14ac:dyDescent="0.3">
      <c r="A483" s="14">
        <v>482</v>
      </c>
      <c r="B483" s="14" t="s">
        <v>838</v>
      </c>
      <c r="C483" s="14">
        <v>6</v>
      </c>
      <c r="D483" s="14" t="str">
        <f>IFERROR(INDEX(Teams!$B$2:$B$49,MATCH($C483,Teams!$A$2:$A$49,0)),"")</f>
        <v>France</v>
      </c>
      <c r="E483" s="14" t="s">
        <v>361</v>
      </c>
      <c r="F483" s="14">
        <v>14</v>
      </c>
    </row>
    <row r="484" spans="1:6" x14ac:dyDescent="0.3">
      <c r="A484" s="14">
        <v>483</v>
      </c>
      <c r="B484" s="14" t="s">
        <v>839</v>
      </c>
      <c r="C484" s="14">
        <v>6</v>
      </c>
      <c r="D484" s="14" t="str">
        <f>IFERROR(INDEX(Teams!$B$2:$B$49,MATCH($C484,Teams!$A$2:$A$49,0)),"")</f>
        <v>France</v>
      </c>
      <c r="E484" s="14" t="s">
        <v>356</v>
      </c>
      <c r="F484" s="14">
        <v>15</v>
      </c>
    </row>
    <row r="485" spans="1:6" x14ac:dyDescent="0.3">
      <c r="A485" s="14">
        <v>484</v>
      </c>
      <c r="B485" s="14" t="s">
        <v>840</v>
      </c>
      <c r="C485" s="14">
        <v>6</v>
      </c>
      <c r="D485" s="14" t="str">
        <f>IFERROR(INDEX(Teams!$B$2:$B$49,MATCH($C485,Teams!$A$2:$A$49,0)),"")</f>
        <v>France</v>
      </c>
      <c r="E485" s="14" t="s">
        <v>354</v>
      </c>
      <c r="F485" s="14">
        <v>16</v>
      </c>
    </row>
    <row r="486" spans="1:6" x14ac:dyDescent="0.3">
      <c r="A486" s="14">
        <v>485</v>
      </c>
      <c r="B486" s="14" t="s">
        <v>841</v>
      </c>
      <c r="C486" s="14">
        <v>6</v>
      </c>
      <c r="D486" s="14" t="str">
        <f>IFERROR(INDEX(Teams!$B$2:$B$49,MATCH($C486,Teams!$A$2:$A$49,0)),"")</f>
        <v>France</v>
      </c>
      <c r="E486" s="14" t="s">
        <v>356</v>
      </c>
      <c r="F486" s="14">
        <v>17</v>
      </c>
    </row>
    <row r="487" spans="1:6" x14ac:dyDescent="0.3">
      <c r="A487" s="14">
        <v>486</v>
      </c>
      <c r="B487" s="14" t="s">
        <v>842</v>
      </c>
      <c r="C487" s="14">
        <v>6</v>
      </c>
      <c r="D487" s="14" t="str">
        <f>IFERROR(INDEX(Teams!$B$2:$B$49,MATCH($C487,Teams!$A$2:$A$49,0)),"")</f>
        <v>France</v>
      </c>
      <c r="E487" s="14" t="s">
        <v>361</v>
      </c>
      <c r="F487" s="14">
        <v>18</v>
      </c>
    </row>
    <row r="488" spans="1:6" x14ac:dyDescent="0.3">
      <c r="A488" s="14">
        <v>487</v>
      </c>
      <c r="B488" s="14" t="s">
        <v>843</v>
      </c>
      <c r="C488" s="14">
        <v>6</v>
      </c>
      <c r="D488" s="14" t="str">
        <f>IFERROR(INDEX(Teams!$B$2:$B$49,MATCH($C488,Teams!$A$2:$A$49,0)),"")</f>
        <v>France</v>
      </c>
      <c r="E488" s="14" t="s">
        <v>356</v>
      </c>
      <c r="F488" s="14">
        <v>19</v>
      </c>
    </row>
    <row r="489" spans="1:6" x14ac:dyDescent="0.3">
      <c r="A489" s="14">
        <v>488</v>
      </c>
      <c r="B489" s="14" t="s">
        <v>844</v>
      </c>
      <c r="C489" s="14">
        <v>6</v>
      </c>
      <c r="D489" s="14" t="str">
        <f>IFERROR(INDEX(Teams!$B$2:$B$49,MATCH($C489,Teams!$A$2:$A$49,0)),"")</f>
        <v>France</v>
      </c>
      <c r="E489" s="14" t="s">
        <v>363</v>
      </c>
      <c r="F489" s="14">
        <v>20</v>
      </c>
    </row>
    <row r="490" spans="1:6" x14ac:dyDescent="0.3">
      <c r="A490" s="14">
        <v>489</v>
      </c>
      <c r="B490" s="14" t="s">
        <v>845</v>
      </c>
      <c r="C490" s="14">
        <v>6</v>
      </c>
      <c r="D490" s="14" t="str">
        <f>IFERROR(INDEX(Teams!$B$2:$B$49,MATCH($C490,Teams!$A$2:$A$49,0)),"")</f>
        <v>France</v>
      </c>
      <c r="E490" s="14" t="s">
        <v>356</v>
      </c>
      <c r="F490" s="14">
        <v>21</v>
      </c>
    </row>
    <row r="491" spans="1:6" x14ac:dyDescent="0.3">
      <c r="A491" s="14">
        <v>490</v>
      </c>
      <c r="B491" s="14" t="s">
        <v>846</v>
      </c>
      <c r="C491" s="14">
        <v>6</v>
      </c>
      <c r="D491" s="14" t="str">
        <f>IFERROR(INDEX(Teams!$B$2:$B$49,MATCH($C491,Teams!$A$2:$A$49,0)),"")</f>
        <v>France</v>
      </c>
      <c r="E491" s="14" t="s">
        <v>363</v>
      </c>
      <c r="F491" s="14">
        <v>22</v>
      </c>
    </row>
    <row r="492" spans="1:6" x14ac:dyDescent="0.3">
      <c r="A492" s="14">
        <v>491</v>
      </c>
      <c r="B492" s="14" t="s">
        <v>847</v>
      </c>
      <c r="C492" s="14">
        <v>6</v>
      </c>
      <c r="D492" s="14" t="str">
        <f>IFERROR(INDEX(Teams!$B$2:$B$49,MATCH($C492,Teams!$A$2:$A$49,0)),"")</f>
        <v>France</v>
      </c>
      <c r="E492" s="14" t="s">
        <v>354</v>
      </c>
      <c r="F492" s="14">
        <v>23</v>
      </c>
    </row>
    <row r="493" spans="1:6" x14ac:dyDescent="0.3">
      <c r="A493" s="14">
        <v>492</v>
      </c>
      <c r="B493" s="14" t="s">
        <v>848</v>
      </c>
      <c r="C493" s="14">
        <v>6</v>
      </c>
      <c r="D493" s="14" t="str">
        <f>IFERROR(INDEX(Teams!$B$2:$B$49,MATCH($C493,Teams!$A$2:$A$49,0)),"")</f>
        <v>France</v>
      </c>
      <c r="E493" s="14" t="s">
        <v>361</v>
      </c>
      <c r="F493" s="14">
        <v>24</v>
      </c>
    </row>
    <row r="494" spans="1:6" x14ac:dyDescent="0.3">
      <c r="A494" s="14">
        <v>493</v>
      </c>
      <c r="B494" s="14" t="s">
        <v>849</v>
      </c>
      <c r="C494" s="14">
        <v>6</v>
      </c>
      <c r="D494" s="14" t="str">
        <f>IFERROR(INDEX(Teams!$B$2:$B$49,MATCH($C494,Teams!$A$2:$A$49,0)),"")</f>
        <v>France</v>
      </c>
      <c r="E494" s="14" t="s">
        <v>361</v>
      </c>
      <c r="F494" s="14">
        <v>25</v>
      </c>
    </row>
    <row r="495" spans="1:6" x14ac:dyDescent="0.3">
      <c r="A495" s="14">
        <v>494</v>
      </c>
      <c r="B495" s="14" t="s">
        <v>850</v>
      </c>
      <c r="C495" s="14">
        <v>6</v>
      </c>
      <c r="D495" s="14" t="str">
        <f>IFERROR(INDEX(Teams!$B$2:$B$49,MATCH($C495,Teams!$A$2:$A$49,0)),"")</f>
        <v>France</v>
      </c>
      <c r="E495" s="14" t="s">
        <v>356</v>
      </c>
      <c r="F495" s="14">
        <v>26</v>
      </c>
    </row>
    <row r="496" spans="1:6" x14ac:dyDescent="0.3">
      <c r="A496" s="14">
        <v>495</v>
      </c>
      <c r="B496" s="14" t="s">
        <v>851</v>
      </c>
      <c r="C496" s="14">
        <v>7</v>
      </c>
      <c r="D496" s="14" t="str">
        <f>IFERROR(INDEX(Teams!$B$2:$B$49,MATCH($C496,Teams!$A$2:$A$49,0)),"")</f>
        <v>Germany</v>
      </c>
      <c r="E496" s="14" t="s">
        <v>354</v>
      </c>
      <c r="F496" s="14">
        <v>1</v>
      </c>
    </row>
    <row r="497" spans="1:6" x14ac:dyDescent="0.3">
      <c r="A497" s="14">
        <v>496</v>
      </c>
      <c r="B497" s="14" t="s">
        <v>852</v>
      </c>
      <c r="C497" s="14">
        <v>7</v>
      </c>
      <c r="D497" s="14" t="str">
        <f>IFERROR(INDEX(Teams!$B$2:$B$49,MATCH($C497,Teams!$A$2:$A$49,0)),"")</f>
        <v>Germany</v>
      </c>
      <c r="E497" s="14" t="s">
        <v>356</v>
      </c>
      <c r="F497" s="14">
        <v>2</v>
      </c>
    </row>
    <row r="498" spans="1:6" x14ac:dyDescent="0.3">
      <c r="A498" s="14">
        <v>497</v>
      </c>
      <c r="B498" s="14" t="s">
        <v>853</v>
      </c>
      <c r="C498" s="14">
        <v>7</v>
      </c>
      <c r="D498" s="14" t="str">
        <f>IFERROR(INDEX(Teams!$B$2:$B$49,MATCH($C498,Teams!$A$2:$A$49,0)),"")</f>
        <v>Germany</v>
      </c>
      <c r="E498" s="14" t="s">
        <v>356</v>
      </c>
      <c r="F498" s="14">
        <v>3</v>
      </c>
    </row>
    <row r="499" spans="1:6" x14ac:dyDescent="0.3">
      <c r="A499" s="14">
        <v>498</v>
      </c>
      <c r="B499" s="14" t="s">
        <v>854</v>
      </c>
      <c r="C499" s="14">
        <v>7</v>
      </c>
      <c r="D499" s="14" t="str">
        <f>IFERROR(INDEX(Teams!$B$2:$B$49,MATCH($C499,Teams!$A$2:$A$49,0)),"")</f>
        <v>Germany</v>
      </c>
      <c r="E499" s="14" t="s">
        <v>356</v>
      </c>
      <c r="F499" s="14">
        <v>4</v>
      </c>
    </row>
    <row r="500" spans="1:6" x14ac:dyDescent="0.3">
      <c r="A500" s="14">
        <v>499</v>
      </c>
      <c r="B500" s="14" t="s">
        <v>855</v>
      </c>
      <c r="C500" s="14">
        <v>7</v>
      </c>
      <c r="D500" s="14" t="str">
        <f>IFERROR(INDEX(Teams!$B$2:$B$49,MATCH($C500,Teams!$A$2:$A$49,0)),"")</f>
        <v>Germany</v>
      </c>
      <c r="E500" s="14" t="s">
        <v>361</v>
      </c>
      <c r="F500" s="14">
        <v>5</v>
      </c>
    </row>
    <row r="501" spans="1:6" x14ac:dyDescent="0.3">
      <c r="A501" s="14">
        <v>500</v>
      </c>
      <c r="B501" s="14" t="s">
        <v>856</v>
      </c>
      <c r="C501" s="14">
        <v>7</v>
      </c>
      <c r="D501" s="14" t="str">
        <f>IFERROR(INDEX(Teams!$B$2:$B$49,MATCH($C501,Teams!$A$2:$A$49,0)),"")</f>
        <v>Germany</v>
      </c>
      <c r="E501" s="14" t="s">
        <v>356</v>
      </c>
      <c r="F501" s="14">
        <v>6</v>
      </c>
    </row>
    <row r="502" spans="1:6" x14ac:dyDescent="0.3">
      <c r="A502" s="14">
        <v>501</v>
      </c>
      <c r="B502" s="14" t="s">
        <v>857</v>
      </c>
      <c r="C502" s="14">
        <v>7</v>
      </c>
      <c r="D502" s="14" t="str">
        <f>IFERROR(INDEX(Teams!$B$2:$B$49,MATCH($C502,Teams!$A$2:$A$49,0)),"")</f>
        <v>Germany</v>
      </c>
      <c r="E502" s="14" t="s">
        <v>363</v>
      </c>
      <c r="F502" s="14">
        <v>7</v>
      </c>
    </row>
    <row r="503" spans="1:6" x14ac:dyDescent="0.3">
      <c r="A503" s="14">
        <v>502</v>
      </c>
      <c r="B503" s="14" t="s">
        <v>858</v>
      </c>
      <c r="C503" s="14">
        <v>7</v>
      </c>
      <c r="D503" s="14" t="str">
        <f>IFERROR(INDEX(Teams!$B$2:$B$49,MATCH($C503,Teams!$A$2:$A$49,0)),"")</f>
        <v>Germany</v>
      </c>
      <c r="E503" s="14" t="s">
        <v>361</v>
      </c>
      <c r="F503" s="14">
        <v>8</v>
      </c>
    </row>
    <row r="504" spans="1:6" x14ac:dyDescent="0.3">
      <c r="A504" s="14">
        <v>503</v>
      </c>
      <c r="B504" s="14" t="s">
        <v>859</v>
      </c>
      <c r="C504" s="14">
        <v>7</v>
      </c>
      <c r="D504" s="14" t="str">
        <f>IFERROR(INDEX(Teams!$B$2:$B$49,MATCH($C504,Teams!$A$2:$A$49,0)),"")</f>
        <v>Germany</v>
      </c>
      <c r="E504" s="14" t="s">
        <v>361</v>
      </c>
      <c r="F504" s="14">
        <v>9</v>
      </c>
    </row>
    <row r="505" spans="1:6" x14ac:dyDescent="0.3">
      <c r="A505" s="14">
        <v>504</v>
      </c>
      <c r="B505" s="14" t="s">
        <v>860</v>
      </c>
      <c r="C505" s="14">
        <v>7</v>
      </c>
      <c r="D505" s="14" t="str">
        <f>IFERROR(INDEX(Teams!$B$2:$B$49,MATCH($C505,Teams!$A$2:$A$49,0)),"")</f>
        <v>Germany</v>
      </c>
      <c r="E505" s="14" t="s">
        <v>361</v>
      </c>
      <c r="F505" s="14">
        <v>10</v>
      </c>
    </row>
    <row r="506" spans="1:6" x14ac:dyDescent="0.3">
      <c r="A506" s="14">
        <v>505</v>
      </c>
      <c r="B506" s="14" t="s">
        <v>861</v>
      </c>
      <c r="C506" s="14">
        <v>7</v>
      </c>
      <c r="D506" s="14" t="str">
        <f>IFERROR(INDEX(Teams!$B$2:$B$49,MATCH($C506,Teams!$A$2:$A$49,0)),"")</f>
        <v>Germany</v>
      </c>
      <c r="E506" s="14" t="s">
        <v>363</v>
      </c>
      <c r="F506" s="14">
        <v>11</v>
      </c>
    </row>
    <row r="507" spans="1:6" x14ac:dyDescent="0.3">
      <c r="A507" s="14">
        <v>506</v>
      </c>
      <c r="B507" s="14" t="s">
        <v>862</v>
      </c>
      <c r="C507" s="14">
        <v>7</v>
      </c>
      <c r="D507" s="14" t="str">
        <f>IFERROR(INDEX(Teams!$B$2:$B$49,MATCH($C507,Teams!$A$2:$A$49,0)),"")</f>
        <v>Germany</v>
      </c>
      <c r="E507" s="14" t="s">
        <v>354</v>
      </c>
      <c r="F507" s="14">
        <v>12</v>
      </c>
    </row>
    <row r="508" spans="1:6" x14ac:dyDescent="0.3">
      <c r="A508" s="14">
        <v>507</v>
      </c>
      <c r="B508" s="14" t="s">
        <v>863</v>
      </c>
      <c r="C508" s="14">
        <v>7</v>
      </c>
      <c r="D508" s="14" t="str">
        <f>IFERROR(INDEX(Teams!$B$2:$B$49,MATCH($C508,Teams!$A$2:$A$49,0)),"")</f>
        <v>Germany</v>
      </c>
      <c r="E508" s="14" t="s">
        <v>361</v>
      </c>
      <c r="F508" s="14">
        <v>13</v>
      </c>
    </row>
    <row r="509" spans="1:6" x14ac:dyDescent="0.3">
      <c r="A509" s="14">
        <v>508</v>
      </c>
      <c r="B509" s="14" t="s">
        <v>864</v>
      </c>
      <c r="C509" s="14">
        <v>7</v>
      </c>
      <c r="D509" s="14" t="str">
        <f>IFERROR(INDEX(Teams!$B$2:$B$49,MATCH($C509,Teams!$A$2:$A$49,0)),"")</f>
        <v>Germany</v>
      </c>
      <c r="E509" s="14" t="s">
        <v>363</v>
      </c>
      <c r="F509" s="14">
        <v>14</v>
      </c>
    </row>
    <row r="510" spans="1:6" x14ac:dyDescent="0.3">
      <c r="A510" s="14">
        <v>509</v>
      </c>
      <c r="B510" s="14" t="s">
        <v>865</v>
      </c>
      <c r="C510" s="14">
        <v>7</v>
      </c>
      <c r="D510" s="14" t="str">
        <f>IFERROR(INDEX(Teams!$B$2:$B$49,MATCH($C510,Teams!$A$2:$A$49,0)),"")</f>
        <v>Germany</v>
      </c>
      <c r="E510" s="14" t="s">
        <v>356</v>
      </c>
      <c r="F510" s="14">
        <v>15</v>
      </c>
    </row>
    <row r="511" spans="1:6" x14ac:dyDescent="0.3">
      <c r="A511" s="14">
        <v>510</v>
      </c>
      <c r="B511" s="14" t="s">
        <v>866</v>
      </c>
      <c r="C511" s="14">
        <v>7</v>
      </c>
      <c r="D511" s="14" t="str">
        <f>IFERROR(INDEX(Teams!$B$2:$B$49,MATCH($C511,Teams!$A$2:$A$49,0)),"")</f>
        <v>Germany</v>
      </c>
      <c r="E511" s="14" t="s">
        <v>361</v>
      </c>
      <c r="F511" s="14">
        <v>16</v>
      </c>
    </row>
    <row r="512" spans="1:6" x14ac:dyDescent="0.3">
      <c r="A512" s="14">
        <v>511</v>
      </c>
      <c r="B512" s="14" t="s">
        <v>867</v>
      </c>
      <c r="C512" s="14">
        <v>7</v>
      </c>
      <c r="D512" s="14" t="str">
        <f>IFERROR(INDEX(Teams!$B$2:$B$49,MATCH($C512,Teams!$A$2:$A$49,0)),"")</f>
        <v>Germany</v>
      </c>
      <c r="E512" s="14" t="s">
        <v>361</v>
      </c>
      <c r="F512" s="14">
        <v>17</v>
      </c>
    </row>
    <row r="513" spans="1:6" x14ac:dyDescent="0.3">
      <c r="A513" s="14">
        <v>512</v>
      </c>
      <c r="B513" s="14" t="s">
        <v>868</v>
      </c>
      <c r="C513" s="14">
        <v>7</v>
      </c>
      <c r="D513" s="14" t="str">
        <f>IFERROR(INDEX(Teams!$B$2:$B$49,MATCH($C513,Teams!$A$2:$A$49,0)),"")</f>
        <v>Germany</v>
      </c>
      <c r="E513" s="14" t="s">
        <v>356</v>
      </c>
      <c r="F513" s="14">
        <v>18</v>
      </c>
    </row>
    <row r="514" spans="1:6" x14ac:dyDescent="0.3">
      <c r="A514" s="14">
        <v>513</v>
      </c>
      <c r="B514" s="14" t="s">
        <v>869</v>
      </c>
      <c r="C514" s="14">
        <v>7</v>
      </c>
      <c r="D514" s="14" t="str">
        <f>IFERROR(INDEX(Teams!$B$2:$B$49,MATCH($C514,Teams!$A$2:$A$49,0)),"")</f>
        <v>Germany</v>
      </c>
      <c r="E514" s="14" t="s">
        <v>361</v>
      </c>
      <c r="F514" s="14">
        <v>19</v>
      </c>
    </row>
    <row r="515" spans="1:6" x14ac:dyDescent="0.3">
      <c r="A515" s="14">
        <v>514</v>
      </c>
      <c r="B515" s="14" t="s">
        <v>870</v>
      </c>
      <c r="C515" s="14">
        <v>7</v>
      </c>
      <c r="D515" s="14" t="str">
        <f>IFERROR(INDEX(Teams!$B$2:$B$49,MATCH($C515,Teams!$A$2:$A$49,0)),"")</f>
        <v>Germany</v>
      </c>
      <c r="E515" s="14" t="s">
        <v>361</v>
      </c>
      <c r="F515" s="14">
        <v>20</v>
      </c>
    </row>
    <row r="516" spans="1:6" x14ac:dyDescent="0.3">
      <c r="A516" s="14">
        <v>515</v>
      </c>
      <c r="B516" s="14" t="s">
        <v>871</v>
      </c>
      <c r="C516" s="14">
        <v>7</v>
      </c>
      <c r="D516" s="14" t="str">
        <f>IFERROR(INDEX(Teams!$B$2:$B$49,MATCH($C516,Teams!$A$2:$A$49,0)),"")</f>
        <v>Germany</v>
      </c>
      <c r="E516" s="14" t="s">
        <v>354</v>
      </c>
      <c r="F516" s="14">
        <v>21</v>
      </c>
    </row>
    <row r="517" spans="1:6" x14ac:dyDescent="0.3">
      <c r="A517" s="14">
        <v>516</v>
      </c>
      <c r="B517" s="14" t="s">
        <v>872</v>
      </c>
      <c r="C517" s="14">
        <v>7</v>
      </c>
      <c r="D517" s="14" t="str">
        <f>IFERROR(INDEX(Teams!$B$2:$B$49,MATCH($C517,Teams!$A$2:$A$49,0)),"")</f>
        <v>Germany</v>
      </c>
      <c r="E517" s="14" t="s">
        <v>356</v>
      </c>
      <c r="F517" s="14">
        <v>22</v>
      </c>
    </row>
    <row r="518" spans="1:6" x14ac:dyDescent="0.3">
      <c r="A518" s="14">
        <v>517</v>
      </c>
      <c r="B518" s="14" t="s">
        <v>873</v>
      </c>
      <c r="C518" s="14">
        <v>7</v>
      </c>
      <c r="D518" s="14" t="str">
        <f>IFERROR(INDEX(Teams!$B$2:$B$49,MATCH($C518,Teams!$A$2:$A$49,0)),"")</f>
        <v>Germany</v>
      </c>
      <c r="E518" s="14" t="s">
        <v>361</v>
      </c>
      <c r="F518" s="14">
        <v>23</v>
      </c>
    </row>
    <row r="519" spans="1:6" x14ac:dyDescent="0.3">
      <c r="A519" s="14">
        <v>518</v>
      </c>
      <c r="B519" s="14" t="s">
        <v>874</v>
      </c>
      <c r="C519" s="14">
        <v>7</v>
      </c>
      <c r="D519" s="14" t="str">
        <f>IFERROR(INDEX(Teams!$B$2:$B$49,MATCH($C519,Teams!$A$2:$A$49,0)),"")</f>
        <v>Germany</v>
      </c>
      <c r="E519" s="14" t="s">
        <v>356</v>
      </c>
      <c r="F519" s="14">
        <v>24</v>
      </c>
    </row>
    <row r="520" spans="1:6" x14ac:dyDescent="0.3">
      <c r="A520" s="14">
        <v>519</v>
      </c>
      <c r="B520" s="14" t="s">
        <v>875</v>
      </c>
      <c r="C520" s="14">
        <v>7</v>
      </c>
      <c r="D520" s="14" t="str">
        <f>IFERROR(INDEX(Teams!$B$2:$B$49,MATCH($C520,Teams!$A$2:$A$49,0)),"")</f>
        <v>Germany</v>
      </c>
      <c r="E520" s="14" t="s">
        <v>361</v>
      </c>
      <c r="F520" s="14">
        <v>25</v>
      </c>
    </row>
    <row r="521" spans="1:6" x14ac:dyDescent="0.3">
      <c r="A521" s="14">
        <v>520</v>
      </c>
      <c r="B521" s="14" t="s">
        <v>876</v>
      </c>
      <c r="C521" s="14">
        <v>7</v>
      </c>
      <c r="D521" s="14" t="str">
        <f>IFERROR(INDEX(Teams!$B$2:$B$49,MATCH($C521,Teams!$A$2:$A$49,0)),"")</f>
        <v>Germany</v>
      </c>
      <c r="E521" s="14" t="s">
        <v>363</v>
      </c>
      <c r="F521" s="14">
        <v>26</v>
      </c>
    </row>
    <row r="522" spans="1:6" x14ac:dyDescent="0.3">
      <c r="A522" s="14">
        <v>521</v>
      </c>
      <c r="B522" s="14" t="s">
        <v>877</v>
      </c>
      <c r="C522" s="14">
        <v>29</v>
      </c>
      <c r="D522" s="14" t="str">
        <f>IFERROR(INDEX(Teams!$B$2:$B$49,MATCH($C522,Teams!$A$2:$A$49,0)),"")</f>
        <v>Ghana</v>
      </c>
      <c r="E522" s="14" t="s">
        <v>354</v>
      </c>
      <c r="F522" s="14">
        <v>1</v>
      </c>
    </row>
    <row r="523" spans="1:6" x14ac:dyDescent="0.3">
      <c r="A523" s="14">
        <v>522</v>
      </c>
      <c r="B523" s="14" t="s">
        <v>878</v>
      </c>
      <c r="C523" s="14">
        <v>29</v>
      </c>
      <c r="D523" s="14" t="str">
        <f>IFERROR(INDEX(Teams!$B$2:$B$49,MATCH($C523,Teams!$A$2:$A$49,0)),"")</f>
        <v>Ghana</v>
      </c>
      <c r="E523" s="14" t="s">
        <v>356</v>
      </c>
      <c r="F523" s="14">
        <v>2</v>
      </c>
    </row>
    <row r="524" spans="1:6" x14ac:dyDescent="0.3">
      <c r="A524" s="14">
        <v>523</v>
      </c>
      <c r="B524" s="14" t="s">
        <v>879</v>
      </c>
      <c r="C524" s="14">
        <v>29</v>
      </c>
      <c r="D524" s="14" t="str">
        <f>IFERROR(INDEX(Teams!$B$2:$B$49,MATCH($C524,Teams!$A$2:$A$49,0)),"")</f>
        <v>Ghana</v>
      </c>
      <c r="E524" s="14" t="s">
        <v>361</v>
      </c>
      <c r="F524" s="14">
        <v>3</v>
      </c>
    </row>
    <row r="525" spans="1:6" x14ac:dyDescent="0.3">
      <c r="A525" s="14">
        <v>524</v>
      </c>
      <c r="B525" s="14" t="s">
        <v>880</v>
      </c>
      <c r="C525" s="14">
        <v>29</v>
      </c>
      <c r="D525" s="14" t="str">
        <f>IFERROR(INDEX(Teams!$B$2:$B$49,MATCH($C525,Teams!$A$2:$A$49,0)),"")</f>
        <v>Ghana</v>
      </c>
      <c r="E525" s="14" t="s">
        <v>356</v>
      </c>
      <c r="F525" s="14">
        <v>4</v>
      </c>
    </row>
    <row r="526" spans="1:6" x14ac:dyDescent="0.3">
      <c r="A526" s="14">
        <v>525</v>
      </c>
      <c r="B526" s="14" t="s">
        <v>881</v>
      </c>
      <c r="C526" s="14">
        <v>29</v>
      </c>
      <c r="D526" s="14" t="str">
        <f>IFERROR(INDEX(Teams!$B$2:$B$49,MATCH($C526,Teams!$A$2:$A$49,0)),"")</f>
        <v>Ghana</v>
      </c>
      <c r="E526" s="14" t="s">
        <v>361</v>
      </c>
      <c r="F526" s="14">
        <v>5</v>
      </c>
    </row>
    <row r="527" spans="1:6" x14ac:dyDescent="0.3">
      <c r="A527" s="14">
        <v>526</v>
      </c>
      <c r="B527" s="14" t="s">
        <v>882</v>
      </c>
      <c r="C527" s="14">
        <v>29</v>
      </c>
      <c r="D527" s="14" t="str">
        <f>IFERROR(INDEX(Teams!$B$2:$B$49,MATCH($C527,Teams!$A$2:$A$49,0)),"")</f>
        <v>Ghana</v>
      </c>
      <c r="E527" s="14" t="s">
        <v>356</v>
      </c>
      <c r="F527" s="14">
        <v>6</v>
      </c>
    </row>
    <row r="528" spans="1:6" x14ac:dyDescent="0.3">
      <c r="A528" s="14">
        <v>527</v>
      </c>
      <c r="B528" s="14" t="s">
        <v>883</v>
      </c>
      <c r="C528" s="14">
        <v>29</v>
      </c>
      <c r="D528" s="14" t="str">
        <f>IFERROR(INDEX(Teams!$B$2:$B$49,MATCH($C528,Teams!$A$2:$A$49,0)),"")</f>
        <v>Ghana</v>
      </c>
      <c r="E528" s="14" t="s">
        <v>363</v>
      </c>
      <c r="F528" s="14">
        <v>7</v>
      </c>
    </row>
    <row r="529" spans="1:6" x14ac:dyDescent="0.3">
      <c r="A529" s="14">
        <v>528</v>
      </c>
      <c r="B529" s="14" t="s">
        <v>884</v>
      </c>
      <c r="C529" s="14">
        <v>29</v>
      </c>
      <c r="D529" s="14" t="str">
        <f>IFERROR(INDEX(Teams!$B$2:$B$49,MATCH($C529,Teams!$A$2:$A$49,0)),"")</f>
        <v>Ghana</v>
      </c>
      <c r="E529" s="14" t="s">
        <v>361</v>
      </c>
      <c r="F529" s="14">
        <v>8</v>
      </c>
    </row>
    <row r="530" spans="1:6" x14ac:dyDescent="0.3">
      <c r="A530" s="14">
        <v>529</v>
      </c>
      <c r="B530" s="14" t="s">
        <v>885</v>
      </c>
      <c r="C530" s="14">
        <v>29</v>
      </c>
      <c r="D530" s="14" t="str">
        <f>IFERROR(INDEX(Teams!$B$2:$B$49,MATCH($C530,Teams!$A$2:$A$49,0)),"")</f>
        <v>Ghana</v>
      </c>
      <c r="E530" s="14" t="s">
        <v>363</v>
      </c>
      <c r="F530" s="14">
        <v>9</v>
      </c>
    </row>
    <row r="531" spans="1:6" x14ac:dyDescent="0.3">
      <c r="A531" s="14">
        <v>530</v>
      </c>
      <c r="B531" s="14" t="s">
        <v>886</v>
      </c>
      <c r="C531" s="14">
        <v>29</v>
      </c>
      <c r="D531" s="14" t="str">
        <f>IFERROR(INDEX(Teams!$B$2:$B$49,MATCH($C531,Teams!$A$2:$A$49,0)),"")</f>
        <v>Ghana</v>
      </c>
      <c r="E531" s="14" t="s">
        <v>363</v>
      </c>
      <c r="F531" s="14">
        <v>10</v>
      </c>
    </row>
    <row r="532" spans="1:6" x14ac:dyDescent="0.3">
      <c r="A532" s="14">
        <v>531</v>
      </c>
      <c r="B532" s="14" t="s">
        <v>887</v>
      </c>
      <c r="C532" s="14">
        <v>29</v>
      </c>
      <c r="D532" s="14" t="str">
        <f>IFERROR(INDEX(Teams!$B$2:$B$49,MATCH($C532,Teams!$A$2:$A$49,0)),"")</f>
        <v>Ghana</v>
      </c>
      <c r="E532" s="14" t="s">
        <v>361</v>
      </c>
      <c r="F532" s="14">
        <v>11</v>
      </c>
    </row>
    <row r="533" spans="1:6" x14ac:dyDescent="0.3">
      <c r="A533" s="14">
        <v>532</v>
      </c>
      <c r="B533" s="14" t="s">
        <v>888</v>
      </c>
      <c r="C533" s="14">
        <v>29</v>
      </c>
      <c r="D533" s="14" t="str">
        <f>IFERROR(INDEX(Teams!$B$2:$B$49,MATCH($C533,Teams!$A$2:$A$49,0)),"")</f>
        <v>Ghana</v>
      </c>
      <c r="E533" s="14" t="s">
        <v>354</v>
      </c>
      <c r="F533" s="14">
        <v>12</v>
      </c>
    </row>
    <row r="534" spans="1:6" x14ac:dyDescent="0.3">
      <c r="A534" s="14">
        <v>533</v>
      </c>
      <c r="B534" s="14" t="s">
        <v>889</v>
      </c>
      <c r="C534" s="14">
        <v>29</v>
      </c>
      <c r="D534" s="14" t="str">
        <f>IFERROR(INDEX(Teams!$B$2:$B$49,MATCH($C534,Teams!$A$2:$A$49,0)),"")</f>
        <v>Ghana</v>
      </c>
      <c r="E534" s="14" t="s">
        <v>363</v>
      </c>
      <c r="F534" s="14">
        <v>13</v>
      </c>
    </row>
    <row r="535" spans="1:6" x14ac:dyDescent="0.3">
      <c r="A535" s="14">
        <v>534</v>
      </c>
      <c r="B535" s="14" t="s">
        <v>890</v>
      </c>
      <c r="C535" s="14">
        <v>29</v>
      </c>
      <c r="D535" s="14" t="str">
        <f>IFERROR(INDEX(Teams!$B$2:$B$49,MATCH($C535,Teams!$A$2:$A$49,0)),"")</f>
        <v>Ghana</v>
      </c>
      <c r="E535" s="14" t="s">
        <v>356</v>
      </c>
      <c r="F535" s="14">
        <v>14</v>
      </c>
    </row>
    <row r="536" spans="1:6" x14ac:dyDescent="0.3">
      <c r="A536" s="14">
        <v>535</v>
      </c>
      <c r="B536" s="14" t="s">
        <v>891</v>
      </c>
      <c r="C536" s="14">
        <v>29</v>
      </c>
      <c r="D536" s="14" t="str">
        <f>IFERROR(INDEX(Teams!$B$2:$B$49,MATCH($C536,Teams!$A$2:$A$49,0)),"")</f>
        <v>Ghana</v>
      </c>
      <c r="E536" s="14" t="s">
        <v>361</v>
      </c>
      <c r="F536" s="14">
        <v>15</v>
      </c>
    </row>
    <row r="537" spans="1:6" x14ac:dyDescent="0.3">
      <c r="A537" s="14">
        <v>536</v>
      </c>
      <c r="B537" s="14" t="s">
        <v>892</v>
      </c>
      <c r="C537" s="14">
        <v>29</v>
      </c>
      <c r="D537" s="14" t="str">
        <f>IFERROR(INDEX(Teams!$B$2:$B$49,MATCH($C537,Teams!$A$2:$A$49,0)),"")</f>
        <v>Ghana</v>
      </c>
      <c r="E537" s="14" t="s">
        <v>354</v>
      </c>
      <c r="F537" s="14">
        <v>16</v>
      </c>
    </row>
    <row r="538" spans="1:6" x14ac:dyDescent="0.3">
      <c r="A538" s="14">
        <v>537</v>
      </c>
      <c r="B538" s="14" t="s">
        <v>893</v>
      </c>
      <c r="C538" s="14">
        <v>29</v>
      </c>
      <c r="D538" s="14" t="str">
        <f>IFERROR(INDEX(Teams!$B$2:$B$49,MATCH($C538,Teams!$A$2:$A$49,0)),"")</f>
        <v>Ghana</v>
      </c>
      <c r="E538" s="14" t="s">
        <v>356</v>
      </c>
      <c r="F538" s="14">
        <v>17</v>
      </c>
    </row>
    <row r="539" spans="1:6" x14ac:dyDescent="0.3">
      <c r="A539" s="14">
        <v>538</v>
      </c>
      <c r="B539" s="14" t="s">
        <v>894</v>
      </c>
      <c r="C539" s="14">
        <v>29</v>
      </c>
      <c r="D539" s="14" t="str">
        <f>IFERROR(INDEX(Teams!$B$2:$B$49,MATCH($C539,Teams!$A$2:$A$49,0)),"")</f>
        <v>Ghana</v>
      </c>
      <c r="E539" s="14" t="s">
        <v>356</v>
      </c>
      <c r="F539" s="14">
        <v>18</v>
      </c>
    </row>
    <row r="540" spans="1:6" x14ac:dyDescent="0.3">
      <c r="A540" s="14">
        <v>539</v>
      </c>
      <c r="B540" s="14" t="s">
        <v>895</v>
      </c>
      <c r="C540" s="14">
        <v>29</v>
      </c>
      <c r="D540" s="14" t="str">
        <f>IFERROR(INDEX(Teams!$B$2:$B$49,MATCH($C540,Teams!$A$2:$A$49,0)),"")</f>
        <v>Ghana</v>
      </c>
      <c r="E540" s="14" t="s">
        <v>363</v>
      </c>
      <c r="F540" s="14">
        <v>19</v>
      </c>
    </row>
    <row r="541" spans="1:6" x14ac:dyDescent="0.3">
      <c r="A541" s="14">
        <v>540</v>
      </c>
      <c r="B541" s="14" t="s">
        <v>896</v>
      </c>
      <c r="C541" s="14">
        <v>29</v>
      </c>
      <c r="D541" s="14" t="str">
        <f>IFERROR(INDEX(Teams!$B$2:$B$49,MATCH($C541,Teams!$A$2:$A$49,0)),"")</f>
        <v>Ghana</v>
      </c>
      <c r="E541" s="14" t="s">
        <v>361</v>
      </c>
      <c r="F541" s="14">
        <v>20</v>
      </c>
    </row>
    <row r="542" spans="1:6" x14ac:dyDescent="0.3">
      <c r="A542" s="14">
        <v>541</v>
      </c>
      <c r="B542" s="14" t="s">
        <v>897</v>
      </c>
      <c r="C542" s="14">
        <v>29</v>
      </c>
      <c r="D542" s="14" t="str">
        <f>IFERROR(INDEX(Teams!$B$2:$B$49,MATCH($C542,Teams!$A$2:$A$49,0)),"")</f>
        <v>Ghana</v>
      </c>
      <c r="E542" s="14" t="s">
        <v>356</v>
      </c>
      <c r="F542" s="14">
        <v>21</v>
      </c>
    </row>
    <row r="543" spans="1:6" x14ac:dyDescent="0.3">
      <c r="A543" s="14">
        <v>542</v>
      </c>
      <c r="B543" s="14" t="s">
        <v>898</v>
      </c>
      <c r="C543" s="14">
        <v>29</v>
      </c>
      <c r="D543" s="14" t="str">
        <f>IFERROR(INDEX(Teams!$B$2:$B$49,MATCH($C543,Teams!$A$2:$A$49,0)),"")</f>
        <v>Ghana</v>
      </c>
      <c r="E543" s="14" t="s">
        <v>363</v>
      </c>
      <c r="F543" s="14">
        <v>22</v>
      </c>
    </row>
    <row r="544" spans="1:6" x14ac:dyDescent="0.3">
      <c r="A544" s="14">
        <v>543</v>
      </c>
      <c r="B544" s="14" t="s">
        <v>899</v>
      </c>
      <c r="C544" s="14">
        <v>29</v>
      </c>
      <c r="D544" s="14" t="str">
        <f>IFERROR(INDEX(Teams!$B$2:$B$49,MATCH($C544,Teams!$A$2:$A$49,0)),"")</f>
        <v>Ghana</v>
      </c>
      <c r="E544" s="14" t="s">
        <v>356</v>
      </c>
      <c r="F544" s="14">
        <v>23</v>
      </c>
    </row>
    <row r="545" spans="1:6" x14ac:dyDescent="0.3">
      <c r="A545" s="14">
        <v>544</v>
      </c>
      <c r="B545" s="14" t="s">
        <v>900</v>
      </c>
      <c r="C545" s="14">
        <v>29</v>
      </c>
      <c r="D545" s="14" t="str">
        <f>IFERROR(INDEX(Teams!$B$2:$B$49,MATCH($C545,Teams!$A$2:$A$49,0)),"")</f>
        <v>Ghana</v>
      </c>
      <c r="E545" s="14" t="s">
        <v>363</v>
      </c>
      <c r="F545" s="14">
        <v>24</v>
      </c>
    </row>
    <row r="546" spans="1:6" x14ac:dyDescent="0.3">
      <c r="A546" s="14">
        <v>545</v>
      </c>
      <c r="B546" s="14" t="s">
        <v>901</v>
      </c>
      <c r="C546" s="14">
        <v>29</v>
      </c>
      <c r="D546" s="14" t="str">
        <f>IFERROR(INDEX(Teams!$B$2:$B$49,MATCH($C546,Teams!$A$2:$A$49,0)),"")</f>
        <v>Ghana</v>
      </c>
      <c r="E546" s="14" t="s">
        <v>363</v>
      </c>
      <c r="F546" s="14">
        <v>25</v>
      </c>
    </row>
    <row r="547" spans="1:6" x14ac:dyDescent="0.3">
      <c r="A547" s="14">
        <v>546</v>
      </c>
      <c r="B547" s="14" t="s">
        <v>902</v>
      </c>
      <c r="C547" s="14">
        <v>29</v>
      </c>
      <c r="D547" s="14" t="str">
        <f>IFERROR(INDEX(Teams!$B$2:$B$49,MATCH($C547,Teams!$A$2:$A$49,0)),"")</f>
        <v>Ghana</v>
      </c>
      <c r="E547" s="14" t="s">
        <v>356</v>
      </c>
      <c r="F547" s="14">
        <v>26</v>
      </c>
    </row>
    <row r="548" spans="1:6" x14ac:dyDescent="0.3">
      <c r="A548" s="14">
        <v>547</v>
      </c>
      <c r="B548" s="14" t="s">
        <v>903</v>
      </c>
      <c r="C548" s="14">
        <v>39</v>
      </c>
      <c r="D548" s="14" t="str">
        <f>IFERROR(INDEX(Teams!$B$2:$B$49,MATCH($C548,Teams!$A$2:$A$49,0)),"")</f>
        <v>Haiti</v>
      </c>
      <c r="E548" s="14" t="s">
        <v>354</v>
      </c>
      <c r="F548" s="14">
        <v>1</v>
      </c>
    </row>
    <row r="549" spans="1:6" x14ac:dyDescent="0.3">
      <c r="A549" s="14">
        <v>548</v>
      </c>
      <c r="B549" s="14" t="s">
        <v>904</v>
      </c>
      <c r="C549" s="14">
        <v>39</v>
      </c>
      <c r="D549" s="14" t="str">
        <f>IFERROR(INDEX(Teams!$B$2:$B$49,MATCH($C549,Teams!$A$2:$A$49,0)),"")</f>
        <v>Haiti</v>
      </c>
      <c r="E549" s="14" t="s">
        <v>356</v>
      </c>
      <c r="F549" s="14">
        <v>2</v>
      </c>
    </row>
    <row r="550" spans="1:6" x14ac:dyDescent="0.3">
      <c r="A550" s="14">
        <v>549</v>
      </c>
      <c r="B550" s="14" t="s">
        <v>905</v>
      </c>
      <c r="C550" s="14">
        <v>39</v>
      </c>
      <c r="D550" s="14" t="str">
        <f>IFERROR(INDEX(Teams!$B$2:$B$49,MATCH($C550,Teams!$A$2:$A$49,0)),"")</f>
        <v>Haiti</v>
      </c>
      <c r="E550" s="14" t="s">
        <v>356</v>
      </c>
      <c r="F550" s="14">
        <v>3</v>
      </c>
    </row>
    <row r="551" spans="1:6" x14ac:dyDescent="0.3">
      <c r="A551" s="14">
        <v>550</v>
      </c>
      <c r="B551" s="14" t="s">
        <v>906</v>
      </c>
      <c r="C551" s="14">
        <v>39</v>
      </c>
      <c r="D551" s="14" t="str">
        <f>IFERROR(INDEX(Teams!$B$2:$B$49,MATCH($C551,Teams!$A$2:$A$49,0)),"")</f>
        <v>Haiti</v>
      </c>
      <c r="E551" s="14" t="s">
        <v>356</v>
      </c>
      <c r="F551" s="14">
        <v>4</v>
      </c>
    </row>
    <row r="552" spans="1:6" x14ac:dyDescent="0.3">
      <c r="A552" s="14">
        <v>551</v>
      </c>
      <c r="B552" s="14" t="s">
        <v>907</v>
      </c>
      <c r="C552" s="14">
        <v>39</v>
      </c>
      <c r="D552" s="14" t="str">
        <f>IFERROR(INDEX(Teams!$B$2:$B$49,MATCH($C552,Teams!$A$2:$A$49,0)),"")</f>
        <v>Haiti</v>
      </c>
      <c r="E552" s="14" t="s">
        <v>356</v>
      </c>
      <c r="F552" s="14">
        <v>5</v>
      </c>
    </row>
    <row r="553" spans="1:6" x14ac:dyDescent="0.3">
      <c r="A553" s="14">
        <v>552</v>
      </c>
      <c r="B553" s="14" t="s">
        <v>908</v>
      </c>
      <c r="C553" s="14">
        <v>39</v>
      </c>
      <c r="D553" s="14" t="str">
        <f>IFERROR(INDEX(Teams!$B$2:$B$49,MATCH($C553,Teams!$A$2:$A$49,0)),"")</f>
        <v>Haiti</v>
      </c>
      <c r="E553" s="14" t="s">
        <v>361</v>
      </c>
      <c r="F553" s="14">
        <v>6</v>
      </c>
    </row>
    <row r="554" spans="1:6" x14ac:dyDescent="0.3">
      <c r="A554" s="14">
        <v>553</v>
      </c>
      <c r="B554" s="14" t="s">
        <v>909</v>
      </c>
      <c r="C554" s="14">
        <v>39</v>
      </c>
      <c r="D554" s="14" t="str">
        <f>IFERROR(INDEX(Teams!$B$2:$B$49,MATCH($C554,Teams!$A$2:$A$49,0)),"")</f>
        <v>Haiti</v>
      </c>
      <c r="E554" s="14" t="s">
        <v>363</v>
      </c>
      <c r="F554" s="14">
        <v>7</v>
      </c>
    </row>
    <row r="555" spans="1:6" x14ac:dyDescent="0.3">
      <c r="A555" s="14">
        <v>554</v>
      </c>
      <c r="B555" s="14" t="s">
        <v>910</v>
      </c>
      <c r="C555" s="14">
        <v>39</v>
      </c>
      <c r="D555" s="14" t="str">
        <f>IFERROR(INDEX(Teams!$B$2:$B$49,MATCH($C555,Teams!$A$2:$A$49,0)),"")</f>
        <v>Haiti</v>
      </c>
      <c r="E555" s="14" t="s">
        <v>356</v>
      </c>
      <c r="F555" s="14">
        <v>8</v>
      </c>
    </row>
    <row r="556" spans="1:6" x14ac:dyDescent="0.3">
      <c r="A556" s="14">
        <v>555</v>
      </c>
      <c r="B556" s="14" t="s">
        <v>911</v>
      </c>
      <c r="C556" s="14">
        <v>39</v>
      </c>
      <c r="D556" s="14" t="str">
        <f>IFERROR(INDEX(Teams!$B$2:$B$49,MATCH($C556,Teams!$A$2:$A$49,0)),"")</f>
        <v>Haiti</v>
      </c>
      <c r="E556" s="14" t="s">
        <v>363</v>
      </c>
      <c r="F556" s="14">
        <v>9</v>
      </c>
    </row>
    <row r="557" spans="1:6" x14ac:dyDescent="0.3">
      <c r="A557" s="14">
        <v>556</v>
      </c>
      <c r="B557" s="14" t="s">
        <v>912</v>
      </c>
      <c r="C557" s="14">
        <v>39</v>
      </c>
      <c r="D557" s="14" t="str">
        <f>IFERROR(INDEX(Teams!$B$2:$B$49,MATCH($C557,Teams!$A$2:$A$49,0)),"")</f>
        <v>Haiti</v>
      </c>
      <c r="E557" s="14" t="s">
        <v>361</v>
      </c>
      <c r="F557" s="14">
        <v>10</v>
      </c>
    </row>
    <row r="558" spans="1:6" x14ac:dyDescent="0.3">
      <c r="A558" s="14">
        <v>557</v>
      </c>
      <c r="B558" s="14" t="s">
        <v>913</v>
      </c>
      <c r="C558" s="14">
        <v>39</v>
      </c>
      <c r="D558" s="14" t="str">
        <f>IFERROR(INDEX(Teams!$B$2:$B$49,MATCH($C558,Teams!$A$2:$A$49,0)),"")</f>
        <v>Haiti</v>
      </c>
      <c r="E558" s="14" t="s">
        <v>363</v>
      </c>
      <c r="F558" s="14">
        <v>11</v>
      </c>
    </row>
    <row r="559" spans="1:6" x14ac:dyDescent="0.3">
      <c r="A559" s="14">
        <v>558</v>
      </c>
      <c r="B559" s="14" t="s">
        <v>914</v>
      </c>
      <c r="C559" s="14">
        <v>39</v>
      </c>
      <c r="D559" s="14" t="str">
        <f>IFERROR(INDEX(Teams!$B$2:$B$49,MATCH($C559,Teams!$A$2:$A$49,0)),"")</f>
        <v>Haiti</v>
      </c>
      <c r="E559" s="14" t="s">
        <v>354</v>
      </c>
      <c r="F559" s="14">
        <v>12</v>
      </c>
    </row>
    <row r="560" spans="1:6" x14ac:dyDescent="0.3">
      <c r="A560" s="14">
        <v>559</v>
      </c>
      <c r="B560" s="14" t="s">
        <v>915</v>
      </c>
      <c r="C560" s="14">
        <v>39</v>
      </c>
      <c r="D560" s="14" t="str">
        <f>IFERROR(INDEX(Teams!$B$2:$B$49,MATCH($C560,Teams!$A$2:$A$49,0)),"")</f>
        <v>Haiti</v>
      </c>
      <c r="E560" s="14" t="s">
        <v>356</v>
      </c>
      <c r="F560" s="14">
        <v>13</v>
      </c>
    </row>
    <row r="561" spans="1:6" x14ac:dyDescent="0.3">
      <c r="A561" s="14">
        <v>560</v>
      </c>
      <c r="B561" s="14" t="s">
        <v>916</v>
      </c>
      <c r="C561" s="14">
        <v>39</v>
      </c>
      <c r="D561" s="14" t="str">
        <f>IFERROR(INDEX(Teams!$B$2:$B$49,MATCH($C561,Teams!$A$2:$A$49,0)),"")</f>
        <v>Haiti</v>
      </c>
      <c r="E561" s="14" t="s">
        <v>356</v>
      </c>
      <c r="F561" s="14">
        <v>14</v>
      </c>
    </row>
    <row r="562" spans="1:6" x14ac:dyDescent="0.3">
      <c r="A562" s="14">
        <v>561</v>
      </c>
      <c r="B562" s="14" t="s">
        <v>917</v>
      </c>
      <c r="C562" s="14">
        <v>39</v>
      </c>
      <c r="D562" s="14" t="str">
        <f>IFERROR(INDEX(Teams!$B$2:$B$49,MATCH($C562,Teams!$A$2:$A$49,0)),"")</f>
        <v>Haiti</v>
      </c>
      <c r="E562" s="14" t="s">
        <v>363</v>
      </c>
      <c r="F562" s="14">
        <v>15</v>
      </c>
    </row>
    <row r="563" spans="1:6" x14ac:dyDescent="0.3">
      <c r="A563" s="14">
        <v>562</v>
      </c>
      <c r="B563" s="14" t="s">
        <v>918</v>
      </c>
      <c r="C563" s="14">
        <v>39</v>
      </c>
      <c r="D563" s="14" t="str">
        <f>IFERROR(INDEX(Teams!$B$2:$B$49,MATCH($C563,Teams!$A$2:$A$49,0)),"")</f>
        <v>Haiti</v>
      </c>
      <c r="E563" s="14" t="s">
        <v>363</v>
      </c>
      <c r="F563" s="14">
        <v>16</v>
      </c>
    </row>
    <row r="564" spans="1:6" x14ac:dyDescent="0.3">
      <c r="A564" s="14">
        <v>563</v>
      </c>
      <c r="B564" s="14" t="s">
        <v>919</v>
      </c>
      <c r="C564" s="14">
        <v>39</v>
      </c>
      <c r="D564" s="14" t="str">
        <f>IFERROR(INDEX(Teams!$B$2:$B$49,MATCH($C564,Teams!$A$2:$A$49,0)),"")</f>
        <v>Haiti</v>
      </c>
      <c r="E564" s="14" t="s">
        <v>361</v>
      </c>
      <c r="F564" s="14">
        <v>17</v>
      </c>
    </row>
    <row r="565" spans="1:6" x14ac:dyDescent="0.3">
      <c r="A565" s="14">
        <v>564</v>
      </c>
      <c r="B565" s="14" t="s">
        <v>920</v>
      </c>
      <c r="C565" s="14">
        <v>39</v>
      </c>
      <c r="D565" s="14" t="str">
        <f>IFERROR(INDEX(Teams!$B$2:$B$49,MATCH($C565,Teams!$A$2:$A$49,0)),"")</f>
        <v>Haiti</v>
      </c>
      <c r="E565" s="14" t="s">
        <v>363</v>
      </c>
      <c r="F565" s="14">
        <v>18</v>
      </c>
    </row>
    <row r="566" spans="1:6" x14ac:dyDescent="0.3">
      <c r="A566" s="14">
        <v>565</v>
      </c>
      <c r="B566" s="14" t="s">
        <v>921</v>
      </c>
      <c r="C566" s="14">
        <v>39</v>
      </c>
      <c r="D566" s="14" t="str">
        <f>IFERROR(INDEX(Teams!$B$2:$B$49,MATCH($C566,Teams!$A$2:$A$49,0)),"")</f>
        <v>Haiti</v>
      </c>
      <c r="E566" s="14" t="s">
        <v>363</v>
      </c>
      <c r="F566" s="14">
        <v>19</v>
      </c>
    </row>
    <row r="567" spans="1:6" x14ac:dyDescent="0.3">
      <c r="A567" s="14">
        <v>566</v>
      </c>
      <c r="B567" s="14" t="s">
        <v>922</v>
      </c>
      <c r="C567" s="14">
        <v>39</v>
      </c>
      <c r="D567" s="14" t="str">
        <f>IFERROR(INDEX(Teams!$B$2:$B$49,MATCH($C567,Teams!$A$2:$A$49,0)),"")</f>
        <v>Haiti</v>
      </c>
      <c r="E567" s="14" t="s">
        <v>363</v>
      </c>
      <c r="F567" s="14">
        <v>20</v>
      </c>
    </row>
    <row r="568" spans="1:6" x14ac:dyDescent="0.3">
      <c r="A568" s="14">
        <v>567</v>
      </c>
      <c r="B568" s="14" t="s">
        <v>923</v>
      </c>
      <c r="C568" s="14">
        <v>39</v>
      </c>
      <c r="D568" s="14" t="str">
        <f>IFERROR(INDEX(Teams!$B$2:$B$49,MATCH($C568,Teams!$A$2:$A$49,0)),"")</f>
        <v>Haiti</v>
      </c>
      <c r="E568" s="14" t="s">
        <v>363</v>
      </c>
      <c r="F568" s="14">
        <v>21</v>
      </c>
    </row>
    <row r="569" spans="1:6" x14ac:dyDescent="0.3">
      <c r="A569" s="14">
        <v>568</v>
      </c>
      <c r="B569" s="14" t="s">
        <v>924</v>
      </c>
      <c r="C569" s="14">
        <v>39</v>
      </c>
      <c r="D569" s="14" t="str">
        <f>IFERROR(INDEX(Teams!$B$2:$B$49,MATCH($C569,Teams!$A$2:$A$49,0)),"")</f>
        <v>Haiti</v>
      </c>
      <c r="E569" s="14" t="s">
        <v>356</v>
      </c>
      <c r="F569" s="14">
        <v>22</v>
      </c>
    </row>
    <row r="570" spans="1:6" x14ac:dyDescent="0.3">
      <c r="A570" s="14">
        <v>569</v>
      </c>
      <c r="B570" s="14" t="s">
        <v>925</v>
      </c>
      <c r="C570" s="14">
        <v>39</v>
      </c>
      <c r="D570" s="14" t="str">
        <f>IFERROR(INDEX(Teams!$B$2:$B$49,MATCH($C570,Teams!$A$2:$A$49,0)),"")</f>
        <v>Haiti</v>
      </c>
      <c r="E570" s="14" t="s">
        <v>354</v>
      </c>
      <c r="F570" s="14">
        <v>23</v>
      </c>
    </row>
    <row r="571" spans="1:6" x14ac:dyDescent="0.3">
      <c r="A571" s="14">
        <v>570</v>
      </c>
      <c r="B571" s="14" t="s">
        <v>926</v>
      </c>
      <c r="C571" s="14">
        <v>39</v>
      </c>
      <c r="D571" s="14" t="str">
        <f>IFERROR(INDEX(Teams!$B$2:$B$49,MATCH($C571,Teams!$A$2:$A$49,0)),"")</f>
        <v>Haiti</v>
      </c>
      <c r="E571" s="14" t="s">
        <v>356</v>
      </c>
      <c r="F571" s="14">
        <v>24</v>
      </c>
    </row>
    <row r="572" spans="1:6" x14ac:dyDescent="0.3">
      <c r="A572" s="14">
        <v>571</v>
      </c>
      <c r="B572" s="14" t="s">
        <v>927</v>
      </c>
      <c r="C572" s="14">
        <v>39</v>
      </c>
      <c r="D572" s="14" t="str">
        <f>IFERROR(INDEX(Teams!$B$2:$B$49,MATCH($C572,Teams!$A$2:$A$49,0)),"")</f>
        <v>Haiti</v>
      </c>
      <c r="E572" s="14" t="s">
        <v>361</v>
      </c>
      <c r="F572" s="14">
        <v>25</v>
      </c>
    </row>
    <row r="573" spans="1:6" x14ac:dyDescent="0.3">
      <c r="A573" s="14">
        <v>572</v>
      </c>
      <c r="B573" s="14" t="s">
        <v>928</v>
      </c>
      <c r="C573" s="14">
        <v>39</v>
      </c>
      <c r="D573" s="14" t="str">
        <f>IFERROR(INDEX(Teams!$B$2:$B$49,MATCH($C573,Teams!$A$2:$A$49,0)),"")</f>
        <v>Haiti</v>
      </c>
      <c r="E573" s="14" t="s">
        <v>361</v>
      </c>
      <c r="F573" s="14">
        <v>26</v>
      </c>
    </row>
    <row r="574" spans="1:6" x14ac:dyDescent="0.3">
      <c r="A574" s="14">
        <v>573</v>
      </c>
      <c r="B574" s="14" t="s">
        <v>929</v>
      </c>
      <c r="C574" s="14">
        <v>30</v>
      </c>
      <c r="D574" s="14" t="str">
        <f>IFERROR(INDEX(Teams!$B$2:$B$49,MATCH($C574,Teams!$A$2:$A$49,0)),"")</f>
        <v>IR Iran</v>
      </c>
      <c r="E574" s="14" t="s">
        <v>354</v>
      </c>
      <c r="F574" s="14">
        <v>1</v>
      </c>
    </row>
    <row r="575" spans="1:6" x14ac:dyDescent="0.3">
      <c r="A575" s="14">
        <v>574</v>
      </c>
      <c r="B575" s="14" t="s">
        <v>930</v>
      </c>
      <c r="C575" s="14">
        <v>30</v>
      </c>
      <c r="D575" s="14" t="str">
        <f>IFERROR(INDEX(Teams!$B$2:$B$49,MATCH($C575,Teams!$A$2:$A$49,0)),"")</f>
        <v>IR Iran</v>
      </c>
      <c r="E575" s="14" t="s">
        <v>356</v>
      </c>
      <c r="F575" s="14">
        <v>2</v>
      </c>
    </row>
    <row r="576" spans="1:6" x14ac:dyDescent="0.3">
      <c r="A576" s="14">
        <v>575</v>
      </c>
      <c r="B576" s="14" t="s">
        <v>931</v>
      </c>
      <c r="C576" s="14">
        <v>30</v>
      </c>
      <c r="D576" s="14" t="str">
        <f>IFERROR(INDEX(Teams!$B$2:$B$49,MATCH($C576,Teams!$A$2:$A$49,0)),"")</f>
        <v>IR Iran</v>
      </c>
      <c r="E576" s="14" t="s">
        <v>356</v>
      </c>
      <c r="F576" s="14">
        <v>3</v>
      </c>
    </row>
    <row r="577" spans="1:6" x14ac:dyDescent="0.3">
      <c r="A577" s="14">
        <v>576</v>
      </c>
      <c r="B577" s="14" t="s">
        <v>932</v>
      </c>
      <c r="C577" s="14">
        <v>30</v>
      </c>
      <c r="D577" s="14" t="str">
        <f>IFERROR(INDEX(Teams!$B$2:$B$49,MATCH($C577,Teams!$A$2:$A$49,0)),"")</f>
        <v>IR Iran</v>
      </c>
      <c r="E577" s="14" t="s">
        <v>356</v>
      </c>
      <c r="F577" s="14">
        <v>4</v>
      </c>
    </row>
    <row r="578" spans="1:6" x14ac:dyDescent="0.3">
      <c r="A578" s="14">
        <v>577</v>
      </c>
      <c r="B578" s="14" t="s">
        <v>933</v>
      </c>
      <c r="C578" s="14">
        <v>30</v>
      </c>
      <c r="D578" s="14" t="str">
        <f>IFERROR(INDEX(Teams!$B$2:$B$49,MATCH($C578,Teams!$A$2:$A$49,0)),"")</f>
        <v>IR Iran</v>
      </c>
      <c r="E578" s="14" t="s">
        <v>356</v>
      </c>
      <c r="F578" s="14">
        <v>5</v>
      </c>
    </row>
    <row r="579" spans="1:6" x14ac:dyDescent="0.3">
      <c r="A579" s="14">
        <v>578</v>
      </c>
      <c r="B579" s="14" t="s">
        <v>934</v>
      </c>
      <c r="C579" s="14">
        <v>30</v>
      </c>
      <c r="D579" s="14" t="str">
        <f>IFERROR(INDEX(Teams!$B$2:$B$49,MATCH($C579,Teams!$A$2:$A$49,0)),"")</f>
        <v>IR Iran</v>
      </c>
      <c r="E579" s="14" t="s">
        <v>361</v>
      </c>
      <c r="F579" s="14">
        <v>6</v>
      </c>
    </row>
    <row r="580" spans="1:6" x14ac:dyDescent="0.3">
      <c r="A580" s="14">
        <v>579</v>
      </c>
      <c r="B580" s="14" t="s">
        <v>935</v>
      </c>
      <c r="C580" s="14">
        <v>30</v>
      </c>
      <c r="D580" s="14" t="str">
        <f>IFERROR(INDEX(Teams!$B$2:$B$49,MATCH($C580,Teams!$A$2:$A$49,0)),"")</f>
        <v>IR Iran</v>
      </c>
      <c r="E580" s="14" t="s">
        <v>361</v>
      </c>
      <c r="F580" s="14">
        <v>7</v>
      </c>
    </row>
    <row r="581" spans="1:6" x14ac:dyDescent="0.3">
      <c r="A581" s="14">
        <v>580</v>
      </c>
      <c r="B581" s="14" t="s">
        <v>936</v>
      </c>
      <c r="C581" s="14">
        <v>30</v>
      </c>
      <c r="D581" s="14" t="str">
        <f>IFERROR(INDEX(Teams!$B$2:$B$49,MATCH($C581,Teams!$A$2:$A$49,0)),"")</f>
        <v>IR Iran</v>
      </c>
      <c r="E581" s="14" t="s">
        <v>361</v>
      </c>
      <c r="F581" s="14">
        <v>8</v>
      </c>
    </row>
    <row r="582" spans="1:6" x14ac:dyDescent="0.3">
      <c r="A582" s="14">
        <v>581</v>
      </c>
      <c r="B582" s="14" t="s">
        <v>937</v>
      </c>
      <c r="C582" s="14">
        <v>30</v>
      </c>
      <c r="D582" s="14" t="str">
        <f>IFERROR(INDEX(Teams!$B$2:$B$49,MATCH($C582,Teams!$A$2:$A$49,0)),"")</f>
        <v>IR Iran</v>
      </c>
      <c r="E582" s="14" t="s">
        <v>363</v>
      </c>
      <c r="F582" s="14">
        <v>9</v>
      </c>
    </row>
    <row r="583" spans="1:6" x14ac:dyDescent="0.3">
      <c r="A583" s="14">
        <v>582</v>
      </c>
      <c r="B583" s="14" t="s">
        <v>938</v>
      </c>
      <c r="C583" s="14">
        <v>30</v>
      </c>
      <c r="D583" s="14" t="str">
        <f>IFERROR(INDEX(Teams!$B$2:$B$49,MATCH($C583,Teams!$A$2:$A$49,0)),"")</f>
        <v>IR Iran</v>
      </c>
      <c r="E583" s="14" t="s">
        <v>363</v>
      </c>
      <c r="F583" s="14">
        <v>10</v>
      </c>
    </row>
    <row r="584" spans="1:6" x14ac:dyDescent="0.3">
      <c r="A584" s="14">
        <v>583</v>
      </c>
      <c r="B584" s="14" t="s">
        <v>939</v>
      </c>
      <c r="C584" s="14">
        <v>30</v>
      </c>
      <c r="D584" s="14" t="str">
        <f>IFERROR(INDEX(Teams!$B$2:$B$49,MATCH($C584,Teams!$A$2:$A$49,0)),"")</f>
        <v>IR Iran</v>
      </c>
      <c r="E584" s="14" t="s">
        <v>363</v>
      </c>
      <c r="F584" s="14">
        <v>11</v>
      </c>
    </row>
    <row r="585" spans="1:6" x14ac:dyDescent="0.3">
      <c r="A585" s="14">
        <v>584</v>
      </c>
      <c r="B585" s="14" t="s">
        <v>940</v>
      </c>
      <c r="C585" s="14">
        <v>30</v>
      </c>
      <c r="D585" s="14" t="str">
        <f>IFERROR(INDEX(Teams!$B$2:$B$49,MATCH($C585,Teams!$A$2:$A$49,0)),"")</f>
        <v>IR Iran</v>
      </c>
      <c r="E585" s="14" t="s">
        <v>354</v>
      </c>
      <c r="F585" s="14">
        <v>12</v>
      </c>
    </row>
    <row r="586" spans="1:6" x14ac:dyDescent="0.3">
      <c r="A586" s="14">
        <v>585</v>
      </c>
      <c r="B586" s="14" t="s">
        <v>941</v>
      </c>
      <c r="C586" s="14">
        <v>30</v>
      </c>
      <c r="D586" s="14" t="str">
        <f>IFERROR(INDEX(Teams!$B$2:$B$49,MATCH($C586,Teams!$A$2:$A$49,0)),"")</f>
        <v>IR Iran</v>
      </c>
      <c r="E586" s="14" t="s">
        <v>356</v>
      </c>
      <c r="F586" s="14">
        <v>13</v>
      </c>
    </row>
    <row r="587" spans="1:6" x14ac:dyDescent="0.3">
      <c r="A587" s="14">
        <v>586</v>
      </c>
      <c r="B587" s="14" t="s">
        <v>942</v>
      </c>
      <c r="C587" s="14">
        <v>30</v>
      </c>
      <c r="D587" s="14" t="str">
        <f>IFERROR(INDEX(Teams!$B$2:$B$49,MATCH($C587,Teams!$A$2:$A$49,0)),"")</f>
        <v>IR Iran</v>
      </c>
      <c r="E587" s="14" t="s">
        <v>361</v>
      </c>
      <c r="F587" s="14">
        <v>14</v>
      </c>
    </row>
    <row r="588" spans="1:6" x14ac:dyDescent="0.3">
      <c r="A588" s="14">
        <v>587</v>
      </c>
      <c r="B588" s="14" t="s">
        <v>943</v>
      </c>
      <c r="C588" s="14">
        <v>30</v>
      </c>
      <c r="D588" s="14" t="str">
        <f>IFERROR(INDEX(Teams!$B$2:$B$49,MATCH($C588,Teams!$A$2:$A$49,0)),"")</f>
        <v>IR Iran</v>
      </c>
      <c r="E588" s="14" t="s">
        <v>361</v>
      </c>
      <c r="F588" s="14">
        <v>15</v>
      </c>
    </row>
    <row r="589" spans="1:6" x14ac:dyDescent="0.3">
      <c r="A589" s="14">
        <v>588</v>
      </c>
      <c r="B589" s="14" t="s">
        <v>944</v>
      </c>
      <c r="C589" s="14">
        <v>30</v>
      </c>
      <c r="D589" s="14" t="str">
        <f>IFERROR(INDEX(Teams!$B$2:$B$49,MATCH($C589,Teams!$A$2:$A$49,0)),"")</f>
        <v>IR Iran</v>
      </c>
      <c r="E589" s="14" t="s">
        <v>361</v>
      </c>
      <c r="F589" s="14">
        <v>16</v>
      </c>
    </row>
    <row r="590" spans="1:6" x14ac:dyDescent="0.3">
      <c r="A590" s="14">
        <v>589</v>
      </c>
      <c r="B590" s="14" t="s">
        <v>945</v>
      </c>
      <c r="C590" s="14">
        <v>30</v>
      </c>
      <c r="D590" s="14" t="str">
        <f>IFERROR(INDEX(Teams!$B$2:$B$49,MATCH($C590,Teams!$A$2:$A$49,0)),"")</f>
        <v>IR Iran</v>
      </c>
      <c r="E590" s="14" t="s">
        <v>356</v>
      </c>
      <c r="F590" s="14">
        <v>17</v>
      </c>
    </row>
    <row r="591" spans="1:6" x14ac:dyDescent="0.3">
      <c r="A591" s="14">
        <v>590</v>
      </c>
      <c r="B591" s="14" t="s">
        <v>946</v>
      </c>
      <c r="C591" s="14">
        <v>30</v>
      </c>
      <c r="D591" s="14" t="str">
        <f>IFERROR(INDEX(Teams!$B$2:$B$49,MATCH($C591,Teams!$A$2:$A$49,0)),"")</f>
        <v>IR Iran</v>
      </c>
      <c r="E591" s="14" t="s">
        <v>363</v>
      </c>
      <c r="F591" s="14">
        <v>18</v>
      </c>
    </row>
    <row r="592" spans="1:6" x14ac:dyDescent="0.3">
      <c r="A592" s="14">
        <v>591</v>
      </c>
      <c r="B592" s="14" t="s">
        <v>947</v>
      </c>
      <c r="C592" s="14">
        <v>30</v>
      </c>
      <c r="D592" s="14" t="str">
        <f>IFERROR(INDEX(Teams!$B$2:$B$49,MATCH($C592,Teams!$A$2:$A$49,0)),"")</f>
        <v>IR Iran</v>
      </c>
      <c r="E592" s="14" t="s">
        <v>356</v>
      </c>
      <c r="F592" s="14">
        <v>19</v>
      </c>
    </row>
    <row r="593" spans="1:6" x14ac:dyDescent="0.3">
      <c r="A593" s="14">
        <v>592</v>
      </c>
      <c r="B593" s="14" t="s">
        <v>948</v>
      </c>
      <c r="C593" s="14">
        <v>30</v>
      </c>
      <c r="D593" s="14" t="str">
        <f>IFERROR(INDEX(Teams!$B$2:$B$49,MATCH($C593,Teams!$A$2:$A$49,0)),"")</f>
        <v>IR Iran</v>
      </c>
      <c r="E593" s="14" t="s">
        <v>363</v>
      </c>
      <c r="F593" s="14">
        <v>20</v>
      </c>
    </row>
    <row r="594" spans="1:6" x14ac:dyDescent="0.3">
      <c r="A594" s="14">
        <v>593</v>
      </c>
      <c r="B594" s="14" t="s">
        <v>949</v>
      </c>
      <c r="C594" s="14">
        <v>30</v>
      </c>
      <c r="D594" s="14" t="str">
        <f>IFERROR(INDEX(Teams!$B$2:$B$49,MATCH($C594,Teams!$A$2:$A$49,0)),"")</f>
        <v>IR Iran</v>
      </c>
      <c r="E594" s="14" t="s">
        <v>361</v>
      </c>
      <c r="F594" s="14">
        <v>21</v>
      </c>
    </row>
    <row r="595" spans="1:6" x14ac:dyDescent="0.3">
      <c r="A595" s="14">
        <v>594</v>
      </c>
      <c r="B595" s="14" t="s">
        <v>950</v>
      </c>
      <c r="C595" s="14">
        <v>30</v>
      </c>
      <c r="D595" s="14" t="str">
        <f>IFERROR(INDEX(Teams!$B$2:$B$49,MATCH($C595,Teams!$A$2:$A$49,0)),"")</f>
        <v>IR Iran</v>
      </c>
      <c r="E595" s="14" t="s">
        <v>354</v>
      </c>
      <c r="F595" s="14">
        <v>22</v>
      </c>
    </row>
    <row r="596" spans="1:6" x14ac:dyDescent="0.3">
      <c r="A596" s="14">
        <v>595</v>
      </c>
      <c r="B596" s="14" t="s">
        <v>951</v>
      </c>
      <c r="C596" s="14">
        <v>30</v>
      </c>
      <c r="D596" s="14" t="str">
        <f>IFERROR(INDEX(Teams!$B$2:$B$49,MATCH($C596,Teams!$A$2:$A$49,0)),"")</f>
        <v>IR Iran</v>
      </c>
      <c r="E596" s="14" t="s">
        <v>356</v>
      </c>
      <c r="F596" s="14">
        <v>23</v>
      </c>
    </row>
    <row r="597" spans="1:6" x14ac:dyDescent="0.3">
      <c r="A597" s="14">
        <v>596</v>
      </c>
      <c r="B597" s="14" t="s">
        <v>952</v>
      </c>
      <c r="C597" s="14">
        <v>30</v>
      </c>
      <c r="D597" s="14" t="str">
        <f>IFERROR(INDEX(Teams!$B$2:$B$49,MATCH($C597,Teams!$A$2:$A$49,0)),"")</f>
        <v>IR Iran</v>
      </c>
      <c r="E597" s="14" t="s">
        <v>363</v>
      </c>
      <c r="F597" s="14">
        <v>24</v>
      </c>
    </row>
    <row r="598" spans="1:6" x14ac:dyDescent="0.3">
      <c r="A598" s="14">
        <v>597</v>
      </c>
      <c r="B598" s="14" t="s">
        <v>953</v>
      </c>
      <c r="C598" s="14">
        <v>30</v>
      </c>
      <c r="D598" s="14" t="str">
        <f>IFERROR(INDEX(Teams!$B$2:$B$49,MATCH($C598,Teams!$A$2:$A$49,0)),"")</f>
        <v>IR Iran</v>
      </c>
      <c r="E598" s="14" t="s">
        <v>356</v>
      </c>
      <c r="F598" s="14">
        <v>25</v>
      </c>
    </row>
    <row r="599" spans="1:6" x14ac:dyDescent="0.3">
      <c r="A599" s="14">
        <v>598</v>
      </c>
      <c r="B599" s="14" t="s">
        <v>954</v>
      </c>
      <c r="C599" s="14">
        <v>30</v>
      </c>
      <c r="D599" s="14" t="str">
        <f>IFERROR(INDEX(Teams!$B$2:$B$49,MATCH($C599,Teams!$A$2:$A$49,0)),"")</f>
        <v>IR Iran</v>
      </c>
      <c r="E599" s="14" t="s">
        <v>361</v>
      </c>
      <c r="F599" s="14">
        <v>26</v>
      </c>
    </row>
    <row r="600" spans="1:6" x14ac:dyDescent="0.3">
      <c r="A600" s="14">
        <v>599</v>
      </c>
      <c r="B600" s="14" t="s">
        <v>955</v>
      </c>
      <c r="C600" s="14">
        <v>40</v>
      </c>
      <c r="D600" s="14" t="str">
        <f>IFERROR(INDEX(Teams!$B$2:$B$49,MATCH($C600,Teams!$A$2:$A$49,0)),"")</f>
        <v>Iraq</v>
      </c>
      <c r="E600" s="14" t="s">
        <v>354</v>
      </c>
      <c r="F600" s="14">
        <v>1</v>
      </c>
    </row>
    <row r="601" spans="1:6" x14ac:dyDescent="0.3">
      <c r="A601" s="14">
        <v>600</v>
      </c>
      <c r="B601" s="14" t="s">
        <v>956</v>
      </c>
      <c r="C601" s="14">
        <v>40</v>
      </c>
      <c r="D601" s="14" t="str">
        <f>IFERROR(INDEX(Teams!$B$2:$B$49,MATCH($C601,Teams!$A$2:$A$49,0)),"")</f>
        <v>Iraq</v>
      </c>
      <c r="E601" s="14" t="s">
        <v>356</v>
      </c>
      <c r="F601" s="14">
        <v>2</v>
      </c>
    </row>
    <row r="602" spans="1:6" x14ac:dyDescent="0.3">
      <c r="A602" s="14">
        <v>601</v>
      </c>
      <c r="B602" s="14" t="s">
        <v>957</v>
      </c>
      <c r="C602" s="14">
        <v>40</v>
      </c>
      <c r="D602" s="14" t="str">
        <f>IFERROR(INDEX(Teams!$B$2:$B$49,MATCH($C602,Teams!$A$2:$A$49,0)),"")</f>
        <v>Iraq</v>
      </c>
      <c r="E602" s="14" t="s">
        <v>356</v>
      </c>
      <c r="F602" s="14">
        <v>3</v>
      </c>
    </row>
    <row r="603" spans="1:6" x14ac:dyDescent="0.3">
      <c r="A603" s="14">
        <v>602</v>
      </c>
      <c r="B603" s="14" t="s">
        <v>958</v>
      </c>
      <c r="C603" s="14">
        <v>40</v>
      </c>
      <c r="D603" s="14" t="str">
        <f>IFERROR(INDEX(Teams!$B$2:$B$49,MATCH($C603,Teams!$A$2:$A$49,0)),"")</f>
        <v>Iraq</v>
      </c>
      <c r="E603" s="14" t="s">
        <v>356</v>
      </c>
      <c r="F603" s="14">
        <v>4</v>
      </c>
    </row>
    <row r="604" spans="1:6" x14ac:dyDescent="0.3">
      <c r="A604" s="14">
        <v>603</v>
      </c>
      <c r="B604" s="14" t="s">
        <v>959</v>
      </c>
      <c r="C604" s="14">
        <v>40</v>
      </c>
      <c r="D604" s="14" t="str">
        <f>IFERROR(INDEX(Teams!$B$2:$B$49,MATCH($C604,Teams!$A$2:$A$49,0)),"")</f>
        <v>Iraq</v>
      </c>
      <c r="E604" s="14" t="s">
        <v>356</v>
      </c>
      <c r="F604" s="14">
        <v>5</v>
      </c>
    </row>
    <row r="605" spans="1:6" x14ac:dyDescent="0.3">
      <c r="A605" s="14">
        <v>604</v>
      </c>
      <c r="B605" s="14" t="s">
        <v>960</v>
      </c>
      <c r="C605" s="14">
        <v>40</v>
      </c>
      <c r="D605" s="14" t="str">
        <f>IFERROR(INDEX(Teams!$B$2:$B$49,MATCH($C605,Teams!$A$2:$A$49,0)),"")</f>
        <v>Iraq</v>
      </c>
      <c r="E605" s="14" t="s">
        <v>356</v>
      </c>
      <c r="F605" s="14">
        <v>6</v>
      </c>
    </row>
    <row r="606" spans="1:6" x14ac:dyDescent="0.3">
      <c r="A606" s="14">
        <v>605</v>
      </c>
      <c r="B606" s="14" t="s">
        <v>961</v>
      </c>
      <c r="C606" s="14">
        <v>40</v>
      </c>
      <c r="D606" s="14" t="str">
        <f>IFERROR(INDEX(Teams!$B$2:$B$49,MATCH($C606,Teams!$A$2:$A$49,0)),"")</f>
        <v>Iraq</v>
      </c>
      <c r="E606" s="14" t="s">
        <v>361</v>
      </c>
      <c r="F606" s="14">
        <v>7</v>
      </c>
    </row>
    <row r="607" spans="1:6" x14ac:dyDescent="0.3">
      <c r="A607" s="14">
        <v>606</v>
      </c>
      <c r="B607" s="14" t="s">
        <v>962</v>
      </c>
      <c r="C607" s="14">
        <v>40</v>
      </c>
      <c r="D607" s="14" t="str">
        <f>IFERROR(INDEX(Teams!$B$2:$B$49,MATCH($C607,Teams!$A$2:$A$49,0)),"")</f>
        <v>Iraq</v>
      </c>
      <c r="E607" s="14" t="s">
        <v>361</v>
      </c>
      <c r="F607" s="14">
        <v>8</v>
      </c>
    </row>
    <row r="608" spans="1:6" x14ac:dyDescent="0.3">
      <c r="A608" s="14">
        <v>607</v>
      </c>
      <c r="B608" s="14" t="s">
        <v>963</v>
      </c>
      <c r="C608" s="14">
        <v>40</v>
      </c>
      <c r="D608" s="14" t="str">
        <f>IFERROR(INDEX(Teams!$B$2:$B$49,MATCH($C608,Teams!$A$2:$A$49,0)),"")</f>
        <v>Iraq</v>
      </c>
      <c r="E608" s="14" t="s">
        <v>363</v>
      </c>
      <c r="F608" s="14">
        <v>9</v>
      </c>
    </row>
    <row r="609" spans="1:6" x14ac:dyDescent="0.3">
      <c r="A609" s="14">
        <v>608</v>
      </c>
      <c r="B609" s="14" t="s">
        <v>964</v>
      </c>
      <c r="C609" s="14">
        <v>40</v>
      </c>
      <c r="D609" s="14" t="str">
        <f>IFERROR(INDEX(Teams!$B$2:$B$49,MATCH($C609,Teams!$A$2:$A$49,0)),"")</f>
        <v>Iraq</v>
      </c>
      <c r="E609" s="14" t="s">
        <v>363</v>
      </c>
      <c r="F609" s="14">
        <v>10</v>
      </c>
    </row>
    <row r="610" spans="1:6" x14ac:dyDescent="0.3">
      <c r="A610" s="14">
        <v>609</v>
      </c>
      <c r="B610" s="14" t="s">
        <v>965</v>
      </c>
      <c r="C610" s="14">
        <v>40</v>
      </c>
      <c r="D610" s="14" t="str">
        <f>IFERROR(INDEX(Teams!$B$2:$B$49,MATCH($C610,Teams!$A$2:$A$49,0)),"")</f>
        <v>Iraq</v>
      </c>
      <c r="E610" s="14" t="s">
        <v>363</v>
      </c>
      <c r="F610" s="14">
        <v>11</v>
      </c>
    </row>
    <row r="611" spans="1:6" x14ac:dyDescent="0.3">
      <c r="A611" s="14">
        <v>610</v>
      </c>
      <c r="B611" s="14" t="s">
        <v>966</v>
      </c>
      <c r="C611" s="14">
        <v>40</v>
      </c>
      <c r="D611" s="14" t="str">
        <f>IFERROR(INDEX(Teams!$B$2:$B$49,MATCH($C611,Teams!$A$2:$A$49,0)),"")</f>
        <v>Iraq</v>
      </c>
      <c r="E611" s="14" t="s">
        <v>354</v>
      </c>
      <c r="F611" s="14">
        <v>12</v>
      </c>
    </row>
    <row r="612" spans="1:6" x14ac:dyDescent="0.3">
      <c r="A612" s="14">
        <v>611</v>
      </c>
      <c r="B612" s="14" t="s">
        <v>967</v>
      </c>
      <c r="C612" s="14">
        <v>40</v>
      </c>
      <c r="D612" s="14" t="str">
        <f>IFERROR(INDEX(Teams!$B$2:$B$49,MATCH($C612,Teams!$A$2:$A$49,0)),"")</f>
        <v>Iraq</v>
      </c>
      <c r="E612" s="14" t="s">
        <v>363</v>
      </c>
      <c r="F612" s="14">
        <v>13</v>
      </c>
    </row>
    <row r="613" spans="1:6" x14ac:dyDescent="0.3">
      <c r="A613" s="14">
        <v>612</v>
      </c>
      <c r="B613" s="14" t="s">
        <v>968</v>
      </c>
      <c r="C613" s="14">
        <v>40</v>
      </c>
      <c r="D613" s="14" t="str">
        <f>IFERROR(INDEX(Teams!$B$2:$B$49,MATCH($C613,Teams!$A$2:$A$49,0)),"")</f>
        <v>Iraq</v>
      </c>
      <c r="E613" s="14" t="s">
        <v>361</v>
      </c>
      <c r="F613" s="14">
        <v>14</v>
      </c>
    </row>
    <row r="614" spans="1:6" x14ac:dyDescent="0.3">
      <c r="A614" s="14">
        <v>613</v>
      </c>
      <c r="B614" s="14" t="s">
        <v>969</v>
      </c>
      <c r="C614" s="14">
        <v>40</v>
      </c>
      <c r="D614" s="14" t="str">
        <f>IFERROR(INDEX(Teams!$B$2:$B$49,MATCH($C614,Teams!$A$2:$A$49,0)),"")</f>
        <v>Iraq</v>
      </c>
      <c r="E614" s="14" t="s">
        <v>356</v>
      </c>
      <c r="F614" s="14">
        <v>15</v>
      </c>
    </row>
    <row r="615" spans="1:6" x14ac:dyDescent="0.3">
      <c r="A615" s="14">
        <v>614</v>
      </c>
      <c r="B615" s="14" t="s">
        <v>970</v>
      </c>
      <c r="C615" s="14">
        <v>40</v>
      </c>
      <c r="D615" s="14" t="str">
        <f>IFERROR(INDEX(Teams!$B$2:$B$49,MATCH($C615,Teams!$A$2:$A$49,0)),"")</f>
        <v>Iraq</v>
      </c>
      <c r="E615" s="14" t="s">
        <v>361</v>
      </c>
      <c r="F615" s="14">
        <v>16</v>
      </c>
    </row>
    <row r="616" spans="1:6" x14ac:dyDescent="0.3">
      <c r="A616" s="14">
        <v>615</v>
      </c>
      <c r="B616" s="14" t="s">
        <v>971</v>
      </c>
      <c r="C616" s="14">
        <v>40</v>
      </c>
      <c r="D616" s="14" t="str">
        <f>IFERROR(INDEX(Teams!$B$2:$B$49,MATCH($C616,Teams!$A$2:$A$49,0)),"")</f>
        <v>Iraq</v>
      </c>
      <c r="E616" s="14" t="s">
        <v>363</v>
      </c>
      <c r="F616" s="14">
        <v>17</v>
      </c>
    </row>
    <row r="617" spans="1:6" x14ac:dyDescent="0.3">
      <c r="A617" s="14">
        <v>616</v>
      </c>
      <c r="B617" s="14" t="s">
        <v>972</v>
      </c>
      <c r="C617" s="14">
        <v>40</v>
      </c>
      <c r="D617" s="14" t="str">
        <f>IFERROR(INDEX(Teams!$B$2:$B$49,MATCH($C617,Teams!$A$2:$A$49,0)),"")</f>
        <v>Iraq</v>
      </c>
      <c r="E617" s="14" t="s">
        <v>363</v>
      </c>
      <c r="F617" s="14">
        <v>18</v>
      </c>
    </row>
    <row r="618" spans="1:6" x14ac:dyDescent="0.3">
      <c r="A618" s="14">
        <v>617</v>
      </c>
      <c r="B618" s="14" t="s">
        <v>973</v>
      </c>
      <c r="C618" s="14">
        <v>40</v>
      </c>
      <c r="D618" s="14" t="str">
        <f>IFERROR(INDEX(Teams!$B$2:$B$49,MATCH($C618,Teams!$A$2:$A$49,0)),"")</f>
        <v>Iraq</v>
      </c>
      <c r="E618" s="14" t="s">
        <v>361</v>
      </c>
      <c r="F618" s="14">
        <v>19</v>
      </c>
    </row>
    <row r="619" spans="1:6" x14ac:dyDescent="0.3">
      <c r="A619" s="14">
        <v>618</v>
      </c>
      <c r="B619" s="14" t="s">
        <v>974</v>
      </c>
      <c r="C619" s="14">
        <v>40</v>
      </c>
      <c r="D619" s="14" t="str">
        <f>IFERROR(INDEX(Teams!$B$2:$B$49,MATCH($C619,Teams!$A$2:$A$49,0)),"")</f>
        <v>Iraq</v>
      </c>
      <c r="E619" s="14" t="s">
        <v>361</v>
      </c>
      <c r="F619" s="14">
        <v>20</v>
      </c>
    </row>
    <row r="620" spans="1:6" x14ac:dyDescent="0.3">
      <c r="A620" s="14">
        <v>619</v>
      </c>
      <c r="B620" s="14" t="s">
        <v>975</v>
      </c>
      <c r="C620" s="14">
        <v>40</v>
      </c>
      <c r="D620" s="14" t="str">
        <f>IFERROR(INDEX(Teams!$B$2:$B$49,MATCH($C620,Teams!$A$2:$A$49,0)),"")</f>
        <v>Iraq</v>
      </c>
      <c r="E620" s="14" t="s">
        <v>363</v>
      </c>
      <c r="F620" s="14">
        <v>21</v>
      </c>
    </row>
    <row r="621" spans="1:6" x14ac:dyDescent="0.3">
      <c r="A621" s="14">
        <v>620</v>
      </c>
      <c r="B621" s="14" t="s">
        <v>976</v>
      </c>
      <c r="C621" s="14">
        <v>40</v>
      </c>
      <c r="D621" s="14" t="str">
        <f>IFERROR(INDEX(Teams!$B$2:$B$49,MATCH($C621,Teams!$A$2:$A$49,0)),"")</f>
        <v>Iraq</v>
      </c>
      <c r="E621" s="14" t="s">
        <v>354</v>
      </c>
      <c r="F621" s="14">
        <v>22</v>
      </c>
    </row>
    <row r="622" spans="1:6" x14ac:dyDescent="0.3">
      <c r="A622" s="14">
        <v>621</v>
      </c>
      <c r="B622" s="14" t="s">
        <v>977</v>
      </c>
      <c r="C622" s="14">
        <v>40</v>
      </c>
      <c r="D622" s="14" t="str">
        <f>IFERROR(INDEX(Teams!$B$2:$B$49,MATCH($C622,Teams!$A$2:$A$49,0)),"")</f>
        <v>Iraq</v>
      </c>
      <c r="E622" s="14" t="s">
        <v>356</v>
      </c>
      <c r="F622" s="14">
        <v>23</v>
      </c>
    </row>
    <row r="623" spans="1:6" x14ac:dyDescent="0.3">
      <c r="A623" s="14">
        <v>622</v>
      </c>
      <c r="B623" s="14" t="s">
        <v>978</v>
      </c>
      <c r="C623" s="14">
        <v>40</v>
      </c>
      <c r="D623" s="14" t="str">
        <f>IFERROR(INDEX(Teams!$B$2:$B$49,MATCH($C623,Teams!$A$2:$A$49,0)),"")</f>
        <v>Iraq</v>
      </c>
      <c r="E623" s="14" t="s">
        <v>361</v>
      </c>
      <c r="F623" s="14">
        <v>24</v>
      </c>
    </row>
    <row r="624" spans="1:6" x14ac:dyDescent="0.3">
      <c r="A624" s="14">
        <v>623</v>
      </c>
      <c r="B624" s="14" t="s">
        <v>979</v>
      </c>
      <c r="C624" s="14">
        <v>40</v>
      </c>
      <c r="D624" s="14" t="str">
        <f>IFERROR(INDEX(Teams!$B$2:$B$49,MATCH($C624,Teams!$A$2:$A$49,0)),"")</f>
        <v>Iraq</v>
      </c>
      <c r="E624" s="14" t="s">
        <v>356</v>
      </c>
      <c r="F624" s="14">
        <v>25</v>
      </c>
    </row>
    <row r="625" spans="1:6" x14ac:dyDescent="0.3">
      <c r="A625" s="14">
        <v>624</v>
      </c>
      <c r="B625" s="14" t="s">
        <v>980</v>
      </c>
      <c r="C625" s="14">
        <v>40</v>
      </c>
      <c r="D625" s="14" t="str">
        <f>IFERROR(INDEX(Teams!$B$2:$B$49,MATCH($C625,Teams!$A$2:$A$49,0)),"")</f>
        <v>Iraq</v>
      </c>
      <c r="E625" s="14" t="s">
        <v>356</v>
      </c>
      <c r="F625" s="14">
        <v>26</v>
      </c>
    </row>
    <row r="626" spans="1:6" x14ac:dyDescent="0.3">
      <c r="A626" s="14">
        <v>625</v>
      </c>
      <c r="B626" s="14" t="s">
        <v>981</v>
      </c>
      <c r="C626" s="14">
        <v>20</v>
      </c>
      <c r="D626" s="14" t="str">
        <f>IFERROR(INDEX(Teams!$B$2:$B$49,MATCH($C626,Teams!$A$2:$A$49,0)),"")</f>
        <v>Japan</v>
      </c>
      <c r="E626" s="14" t="s">
        <v>354</v>
      </c>
      <c r="F626" s="14">
        <v>1</v>
      </c>
    </row>
    <row r="627" spans="1:6" x14ac:dyDescent="0.3">
      <c r="A627" s="14">
        <v>626</v>
      </c>
      <c r="B627" s="14" t="s">
        <v>982</v>
      </c>
      <c r="C627" s="14">
        <v>20</v>
      </c>
      <c r="D627" s="14" t="str">
        <f>IFERROR(INDEX(Teams!$B$2:$B$49,MATCH($C627,Teams!$A$2:$A$49,0)),"")</f>
        <v>Japan</v>
      </c>
      <c r="E627" s="14" t="s">
        <v>356</v>
      </c>
      <c r="F627" s="14">
        <v>2</v>
      </c>
    </row>
    <row r="628" spans="1:6" x14ac:dyDescent="0.3">
      <c r="A628" s="14">
        <v>627</v>
      </c>
      <c r="B628" s="14" t="s">
        <v>983</v>
      </c>
      <c r="C628" s="14">
        <v>20</v>
      </c>
      <c r="D628" s="14" t="str">
        <f>IFERROR(INDEX(Teams!$B$2:$B$49,MATCH($C628,Teams!$A$2:$A$49,0)),"")</f>
        <v>Japan</v>
      </c>
      <c r="E628" s="14" t="s">
        <v>356</v>
      </c>
      <c r="F628" s="14">
        <v>3</v>
      </c>
    </row>
    <row r="629" spans="1:6" x14ac:dyDescent="0.3">
      <c r="A629" s="14">
        <v>628</v>
      </c>
      <c r="B629" s="14" t="s">
        <v>984</v>
      </c>
      <c r="C629" s="14">
        <v>20</v>
      </c>
      <c r="D629" s="14" t="str">
        <f>IFERROR(INDEX(Teams!$B$2:$B$49,MATCH($C629,Teams!$A$2:$A$49,0)),"")</f>
        <v>Japan</v>
      </c>
      <c r="E629" s="14" t="s">
        <v>356</v>
      </c>
      <c r="F629" s="14">
        <v>4</v>
      </c>
    </row>
    <row r="630" spans="1:6" x14ac:dyDescent="0.3">
      <c r="A630" s="14">
        <v>629</v>
      </c>
      <c r="B630" s="14" t="s">
        <v>985</v>
      </c>
      <c r="C630" s="14">
        <v>20</v>
      </c>
      <c r="D630" s="14" t="str">
        <f>IFERROR(INDEX(Teams!$B$2:$B$49,MATCH($C630,Teams!$A$2:$A$49,0)),"")</f>
        <v>Japan</v>
      </c>
      <c r="E630" s="14" t="s">
        <v>356</v>
      </c>
      <c r="F630" s="14">
        <v>5</v>
      </c>
    </row>
    <row r="631" spans="1:6" x14ac:dyDescent="0.3">
      <c r="A631" s="14">
        <v>630</v>
      </c>
      <c r="B631" s="14" t="s">
        <v>986</v>
      </c>
      <c r="C631" s="14">
        <v>20</v>
      </c>
      <c r="D631" s="14" t="str">
        <f>IFERROR(INDEX(Teams!$B$2:$B$49,MATCH($C631,Teams!$A$2:$A$49,0)),"")</f>
        <v>Japan</v>
      </c>
      <c r="E631" s="14" t="s">
        <v>363</v>
      </c>
      <c r="F631" s="14">
        <v>6</v>
      </c>
    </row>
    <row r="632" spans="1:6" x14ac:dyDescent="0.3">
      <c r="A632" s="14">
        <v>631</v>
      </c>
      <c r="B632" s="14" t="s">
        <v>987</v>
      </c>
      <c r="C632" s="14">
        <v>20</v>
      </c>
      <c r="D632" s="14" t="str">
        <f>IFERROR(INDEX(Teams!$B$2:$B$49,MATCH($C632,Teams!$A$2:$A$49,0)),"")</f>
        <v>Japan</v>
      </c>
      <c r="E632" s="14" t="s">
        <v>361</v>
      </c>
      <c r="F632" s="14">
        <v>7</v>
      </c>
    </row>
    <row r="633" spans="1:6" x14ac:dyDescent="0.3">
      <c r="A633" s="14">
        <v>632</v>
      </c>
      <c r="B633" s="14" t="s">
        <v>988</v>
      </c>
      <c r="C633" s="14">
        <v>20</v>
      </c>
      <c r="D633" s="14" t="str">
        <f>IFERROR(INDEX(Teams!$B$2:$B$49,MATCH($C633,Teams!$A$2:$A$49,0)),"")</f>
        <v>Japan</v>
      </c>
      <c r="E633" s="14" t="s">
        <v>361</v>
      </c>
      <c r="F633" s="14">
        <v>8</v>
      </c>
    </row>
    <row r="634" spans="1:6" x14ac:dyDescent="0.3">
      <c r="A634" s="14">
        <v>633</v>
      </c>
      <c r="B634" s="14" t="s">
        <v>989</v>
      </c>
      <c r="C634" s="14">
        <v>20</v>
      </c>
      <c r="D634" s="14" t="str">
        <f>IFERROR(INDEX(Teams!$B$2:$B$49,MATCH($C634,Teams!$A$2:$A$49,0)),"")</f>
        <v>Japan</v>
      </c>
      <c r="E634" s="14" t="s">
        <v>363</v>
      </c>
      <c r="F634" s="14">
        <v>9</v>
      </c>
    </row>
    <row r="635" spans="1:6" x14ac:dyDescent="0.3">
      <c r="A635" s="14">
        <v>634</v>
      </c>
      <c r="B635" s="14" t="s">
        <v>990</v>
      </c>
      <c r="C635" s="14">
        <v>20</v>
      </c>
      <c r="D635" s="14" t="str">
        <f>IFERROR(INDEX(Teams!$B$2:$B$49,MATCH($C635,Teams!$A$2:$A$49,0)),"")</f>
        <v>Japan</v>
      </c>
      <c r="E635" s="14" t="s">
        <v>361</v>
      </c>
      <c r="F635" s="14">
        <v>10</v>
      </c>
    </row>
    <row r="636" spans="1:6" x14ac:dyDescent="0.3">
      <c r="A636" s="14">
        <v>635</v>
      </c>
      <c r="B636" s="14" t="s">
        <v>991</v>
      </c>
      <c r="C636" s="14">
        <v>20</v>
      </c>
      <c r="D636" s="14" t="str">
        <f>IFERROR(INDEX(Teams!$B$2:$B$49,MATCH($C636,Teams!$A$2:$A$49,0)),"")</f>
        <v>Japan</v>
      </c>
      <c r="E636" s="14" t="s">
        <v>361</v>
      </c>
      <c r="F636" s="14">
        <v>11</v>
      </c>
    </row>
    <row r="637" spans="1:6" x14ac:dyDescent="0.3">
      <c r="A637" s="14">
        <v>636</v>
      </c>
      <c r="B637" s="14" t="s">
        <v>992</v>
      </c>
      <c r="C637" s="14">
        <v>20</v>
      </c>
      <c r="D637" s="14" t="str">
        <f>IFERROR(INDEX(Teams!$B$2:$B$49,MATCH($C637,Teams!$A$2:$A$49,0)),"")</f>
        <v>Japan</v>
      </c>
      <c r="E637" s="14" t="s">
        <v>354</v>
      </c>
      <c r="F637" s="14">
        <v>12</v>
      </c>
    </row>
    <row r="638" spans="1:6" x14ac:dyDescent="0.3">
      <c r="A638" s="14">
        <v>637</v>
      </c>
      <c r="B638" s="14" t="s">
        <v>993</v>
      </c>
      <c r="C638" s="14">
        <v>20</v>
      </c>
      <c r="D638" s="14" t="str">
        <f>IFERROR(INDEX(Teams!$B$2:$B$49,MATCH($C638,Teams!$A$2:$A$49,0)),"")</f>
        <v>Japan</v>
      </c>
      <c r="E638" s="14" t="s">
        <v>361</v>
      </c>
      <c r="F638" s="14">
        <v>13</v>
      </c>
    </row>
    <row r="639" spans="1:6" x14ac:dyDescent="0.3">
      <c r="A639" s="14">
        <v>638</v>
      </c>
      <c r="B639" s="14" t="s">
        <v>994</v>
      </c>
      <c r="C639" s="14">
        <v>20</v>
      </c>
      <c r="D639" s="14" t="str">
        <f>IFERROR(INDEX(Teams!$B$2:$B$49,MATCH($C639,Teams!$A$2:$A$49,0)),"")</f>
        <v>Japan</v>
      </c>
      <c r="E639" s="14" t="s">
        <v>361</v>
      </c>
      <c r="F639" s="14">
        <v>14</v>
      </c>
    </row>
    <row r="640" spans="1:6" x14ac:dyDescent="0.3">
      <c r="A640" s="14">
        <v>639</v>
      </c>
      <c r="B640" s="14" t="s">
        <v>995</v>
      </c>
      <c r="C640" s="14">
        <v>20</v>
      </c>
      <c r="D640" s="14" t="str">
        <f>IFERROR(INDEX(Teams!$B$2:$B$49,MATCH($C640,Teams!$A$2:$A$49,0)),"")</f>
        <v>Japan</v>
      </c>
      <c r="E640" s="14" t="s">
        <v>361</v>
      </c>
      <c r="F640" s="14">
        <v>15</v>
      </c>
    </row>
    <row r="641" spans="1:6" x14ac:dyDescent="0.3">
      <c r="A641" s="14">
        <v>640</v>
      </c>
      <c r="B641" s="14" t="s">
        <v>996</v>
      </c>
      <c r="C641" s="14">
        <v>20</v>
      </c>
      <c r="D641" s="14" t="str">
        <f>IFERROR(INDEX(Teams!$B$2:$B$49,MATCH($C641,Teams!$A$2:$A$49,0)),"")</f>
        <v>Japan</v>
      </c>
      <c r="E641" s="14" t="s">
        <v>356</v>
      </c>
      <c r="F641" s="14">
        <v>16</v>
      </c>
    </row>
    <row r="642" spans="1:6" x14ac:dyDescent="0.3">
      <c r="A642" s="14">
        <v>641</v>
      </c>
      <c r="B642" s="14" t="s">
        <v>997</v>
      </c>
      <c r="C642" s="14">
        <v>20</v>
      </c>
      <c r="D642" s="14" t="str">
        <f>IFERROR(INDEX(Teams!$B$2:$B$49,MATCH($C642,Teams!$A$2:$A$49,0)),"")</f>
        <v>Japan</v>
      </c>
      <c r="E642" s="14" t="s">
        <v>361</v>
      </c>
      <c r="F642" s="14">
        <v>17</v>
      </c>
    </row>
    <row r="643" spans="1:6" x14ac:dyDescent="0.3">
      <c r="A643" s="14">
        <v>642</v>
      </c>
      <c r="B643" s="14" t="s">
        <v>998</v>
      </c>
      <c r="C643" s="14">
        <v>20</v>
      </c>
      <c r="D643" s="14" t="str">
        <f>IFERROR(INDEX(Teams!$B$2:$B$49,MATCH($C643,Teams!$A$2:$A$49,0)),"")</f>
        <v>Japan</v>
      </c>
      <c r="E643" s="14" t="s">
        <v>363</v>
      </c>
      <c r="F643" s="14">
        <v>18</v>
      </c>
    </row>
    <row r="644" spans="1:6" x14ac:dyDescent="0.3">
      <c r="A644" s="14">
        <v>643</v>
      </c>
      <c r="B644" s="14" t="s">
        <v>999</v>
      </c>
      <c r="C644" s="14">
        <v>20</v>
      </c>
      <c r="D644" s="14" t="str">
        <f>IFERROR(INDEX(Teams!$B$2:$B$49,MATCH($C644,Teams!$A$2:$A$49,0)),"")</f>
        <v>Japan</v>
      </c>
      <c r="E644" s="14" t="s">
        <v>363</v>
      </c>
      <c r="F644" s="14">
        <v>19</v>
      </c>
    </row>
    <row r="645" spans="1:6" x14ac:dyDescent="0.3">
      <c r="A645" s="14">
        <v>644</v>
      </c>
      <c r="B645" s="14" t="s">
        <v>1000</v>
      </c>
      <c r="C645" s="14">
        <v>20</v>
      </c>
      <c r="D645" s="14" t="str">
        <f>IFERROR(INDEX(Teams!$B$2:$B$49,MATCH($C645,Teams!$A$2:$A$49,0)),"")</f>
        <v>Japan</v>
      </c>
      <c r="E645" s="14" t="s">
        <v>356</v>
      </c>
      <c r="F645" s="14">
        <v>20</v>
      </c>
    </row>
    <row r="646" spans="1:6" x14ac:dyDescent="0.3">
      <c r="A646" s="14">
        <v>645</v>
      </c>
      <c r="B646" s="14" t="s">
        <v>1001</v>
      </c>
      <c r="C646" s="14">
        <v>20</v>
      </c>
      <c r="D646" s="14" t="str">
        <f>IFERROR(INDEX(Teams!$B$2:$B$49,MATCH($C646,Teams!$A$2:$A$49,0)),"")</f>
        <v>Japan</v>
      </c>
      <c r="E646" s="14" t="s">
        <v>356</v>
      </c>
      <c r="F646" s="14">
        <v>21</v>
      </c>
    </row>
    <row r="647" spans="1:6" x14ac:dyDescent="0.3">
      <c r="A647" s="14">
        <v>646</v>
      </c>
      <c r="B647" s="14" t="s">
        <v>1002</v>
      </c>
      <c r="C647" s="14">
        <v>20</v>
      </c>
      <c r="D647" s="14" t="str">
        <f>IFERROR(INDEX(Teams!$B$2:$B$49,MATCH($C647,Teams!$A$2:$A$49,0)),"")</f>
        <v>Japan</v>
      </c>
      <c r="E647" s="14" t="s">
        <v>356</v>
      </c>
      <c r="F647" s="14">
        <v>22</v>
      </c>
    </row>
    <row r="648" spans="1:6" x14ac:dyDescent="0.3">
      <c r="A648" s="14">
        <v>647</v>
      </c>
      <c r="B648" s="14" t="s">
        <v>1003</v>
      </c>
      <c r="C648" s="14">
        <v>20</v>
      </c>
      <c r="D648" s="14" t="str">
        <f>IFERROR(INDEX(Teams!$B$2:$B$49,MATCH($C648,Teams!$A$2:$A$49,0)),"")</f>
        <v>Japan</v>
      </c>
      <c r="E648" s="14" t="s">
        <v>354</v>
      </c>
      <c r="F648" s="14">
        <v>23</v>
      </c>
    </row>
    <row r="649" spans="1:6" x14ac:dyDescent="0.3">
      <c r="A649" s="14">
        <v>648</v>
      </c>
      <c r="B649" s="14" t="s">
        <v>1004</v>
      </c>
      <c r="C649" s="14">
        <v>20</v>
      </c>
      <c r="D649" s="14" t="str">
        <f>IFERROR(INDEX(Teams!$B$2:$B$49,MATCH($C649,Teams!$A$2:$A$49,0)),"")</f>
        <v>Japan</v>
      </c>
      <c r="E649" s="14" t="s">
        <v>361</v>
      </c>
      <c r="F649" s="14">
        <v>24</v>
      </c>
    </row>
    <row r="650" spans="1:6" x14ac:dyDescent="0.3">
      <c r="A650" s="14">
        <v>649</v>
      </c>
      <c r="B650" s="14" t="s">
        <v>1005</v>
      </c>
      <c r="C650" s="14">
        <v>20</v>
      </c>
      <c r="D650" s="14" t="str">
        <f>IFERROR(INDEX(Teams!$B$2:$B$49,MATCH($C650,Teams!$A$2:$A$49,0)),"")</f>
        <v>Japan</v>
      </c>
      <c r="E650" s="14" t="s">
        <v>356</v>
      </c>
      <c r="F650" s="14">
        <v>25</v>
      </c>
    </row>
    <row r="651" spans="1:6" x14ac:dyDescent="0.3">
      <c r="A651" s="14">
        <v>650</v>
      </c>
      <c r="B651" s="14" t="s">
        <v>1006</v>
      </c>
      <c r="C651" s="14">
        <v>20</v>
      </c>
      <c r="D651" s="14" t="str">
        <f>IFERROR(INDEX(Teams!$B$2:$B$49,MATCH($C651,Teams!$A$2:$A$49,0)),"")</f>
        <v>Japan</v>
      </c>
      <c r="E651" s="14" t="s">
        <v>363</v>
      </c>
      <c r="F651" s="14">
        <v>26</v>
      </c>
    </row>
    <row r="652" spans="1:6" x14ac:dyDescent="0.3">
      <c r="A652" s="14">
        <v>651</v>
      </c>
      <c r="B652" s="14" t="s">
        <v>1007</v>
      </c>
      <c r="C652" s="14">
        <v>41</v>
      </c>
      <c r="D652" s="14" t="str">
        <f>IFERROR(INDEX(Teams!$B$2:$B$49,MATCH($C652,Teams!$A$2:$A$49,0)),"")</f>
        <v>Jordan</v>
      </c>
      <c r="E652" s="14" t="s">
        <v>354</v>
      </c>
      <c r="F652" s="14">
        <v>1</v>
      </c>
    </row>
    <row r="653" spans="1:6" x14ac:dyDescent="0.3">
      <c r="A653" s="14">
        <v>652</v>
      </c>
      <c r="B653" s="14" t="s">
        <v>1008</v>
      </c>
      <c r="C653" s="14">
        <v>41</v>
      </c>
      <c r="D653" s="14" t="str">
        <f>IFERROR(INDEX(Teams!$B$2:$B$49,MATCH($C653,Teams!$A$2:$A$49,0)),"")</f>
        <v>Jordan</v>
      </c>
      <c r="E653" s="14" t="s">
        <v>356</v>
      </c>
      <c r="F653" s="14">
        <v>2</v>
      </c>
    </row>
    <row r="654" spans="1:6" x14ac:dyDescent="0.3">
      <c r="A654" s="14">
        <v>653</v>
      </c>
      <c r="B654" s="14" t="s">
        <v>1009</v>
      </c>
      <c r="C654" s="14">
        <v>41</v>
      </c>
      <c r="D654" s="14" t="str">
        <f>IFERROR(INDEX(Teams!$B$2:$B$49,MATCH($C654,Teams!$A$2:$A$49,0)),"")</f>
        <v>Jordan</v>
      </c>
      <c r="E654" s="14" t="s">
        <v>356</v>
      </c>
      <c r="F654" s="14">
        <v>3</v>
      </c>
    </row>
    <row r="655" spans="1:6" x14ac:dyDescent="0.3">
      <c r="A655" s="14">
        <v>654</v>
      </c>
      <c r="B655" s="14" t="s">
        <v>1010</v>
      </c>
      <c r="C655" s="14">
        <v>41</v>
      </c>
      <c r="D655" s="14" t="str">
        <f>IFERROR(INDEX(Teams!$B$2:$B$49,MATCH($C655,Teams!$A$2:$A$49,0)),"")</f>
        <v>Jordan</v>
      </c>
      <c r="E655" s="14" t="s">
        <v>356</v>
      </c>
      <c r="F655" s="14">
        <v>4</v>
      </c>
    </row>
    <row r="656" spans="1:6" x14ac:dyDescent="0.3">
      <c r="A656" s="14">
        <v>655</v>
      </c>
      <c r="B656" s="14" t="s">
        <v>1011</v>
      </c>
      <c r="C656" s="14">
        <v>41</v>
      </c>
      <c r="D656" s="14" t="str">
        <f>IFERROR(INDEX(Teams!$B$2:$B$49,MATCH($C656,Teams!$A$2:$A$49,0)),"")</f>
        <v>Jordan</v>
      </c>
      <c r="E656" s="14" t="s">
        <v>356</v>
      </c>
      <c r="F656" s="14">
        <v>5</v>
      </c>
    </row>
    <row r="657" spans="1:6" x14ac:dyDescent="0.3">
      <c r="A657" s="14">
        <v>656</v>
      </c>
      <c r="B657" s="14" t="s">
        <v>1012</v>
      </c>
      <c r="C657" s="14">
        <v>41</v>
      </c>
      <c r="D657" s="14" t="str">
        <f>IFERROR(INDEX(Teams!$B$2:$B$49,MATCH($C657,Teams!$A$2:$A$49,0)),"")</f>
        <v>Jordan</v>
      </c>
      <c r="E657" s="14" t="s">
        <v>361</v>
      </c>
      <c r="F657" s="14">
        <v>6</v>
      </c>
    </row>
    <row r="658" spans="1:6" x14ac:dyDescent="0.3">
      <c r="A658" s="14">
        <v>657</v>
      </c>
      <c r="B658" s="14" t="s">
        <v>1013</v>
      </c>
      <c r="C658" s="14">
        <v>41</v>
      </c>
      <c r="D658" s="14" t="str">
        <f>IFERROR(INDEX(Teams!$B$2:$B$49,MATCH($C658,Teams!$A$2:$A$49,0)),"")</f>
        <v>Jordan</v>
      </c>
      <c r="E658" s="14" t="s">
        <v>363</v>
      </c>
      <c r="F658" s="14">
        <v>7</v>
      </c>
    </row>
    <row r="659" spans="1:6" x14ac:dyDescent="0.3">
      <c r="A659" s="14">
        <v>658</v>
      </c>
      <c r="B659" s="14" t="s">
        <v>1014</v>
      </c>
      <c r="C659" s="14">
        <v>41</v>
      </c>
      <c r="D659" s="14" t="str">
        <f>IFERROR(INDEX(Teams!$B$2:$B$49,MATCH($C659,Teams!$A$2:$A$49,0)),"")</f>
        <v>Jordan</v>
      </c>
      <c r="E659" s="14" t="s">
        <v>361</v>
      </c>
      <c r="F659" s="14">
        <v>8</v>
      </c>
    </row>
    <row r="660" spans="1:6" x14ac:dyDescent="0.3">
      <c r="A660" s="14">
        <v>659</v>
      </c>
      <c r="B660" s="14" t="s">
        <v>1015</v>
      </c>
      <c r="C660" s="14">
        <v>41</v>
      </c>
      <c r="D660" s="14" t="str">
        <f>IFERROR(INDEX(Teams!$B$2:$B$49,MATCH($C660,Teams!$A$2:$A$49,0)),"")</f>
        <v>Jordan</v>
      </c>
      <c r="E660" s="14" t="s">
        <v>363</v>
      </c>
      <c r="F660" s="14">
        <v>9</v>
      </c>
    </row>
    <row r="661" spans="1:6" x14ac:dyDescent="0.3">
      <c r="A661" s="14">
        <v>660</v>
      </c>
      <c r="B661" s="14" t="s">
        <v>1016</v>
      </c>
      <c r="C661" s="14">
        <v>41</v>
      </c>
      <c r="D661" s="14" t="str">
        <f>IFERROR(INDEX(Teams!$B$2:$B$49,MATCH($C661,Teams!$A$2:$A$49,0)),"")</f>
        <v>Jordan</v>
      </c>
      <c r="E661" s="14" t="s">
        <v>363</v>
      </c>
      <c r="F661" s="14">
        <v>10</v>
      </c>
    </row>
    <row r="662" spans="1:6" x14ac:dyDescent="0.3">
      <c r="A662" s="14">
        <v>661</v>
      </c>
      <c r="B662" s="14" t="s">
        <v>1017</v>
      </c>
      <c r="C662" s="14">
        <v>41</v>
      </c>
      <c r="D662" s="14" t="str">
        <f>IFERROR(INDEX(Teams!$B$2:$B$49,MATCH($C662,Teams!$A$2:$A$49,0)),"")</f>
        <v>Jordan</v>
      </c>
      <c r="E662" s="14" t="s">
        <v>363</v>
      </c>
      <c r="F662" s="14">
        <v>11</v>
      </c>
    </row>
    <row r="663" spans="1:6" x14ac:dyDescent="0.3">
      <c r="A663" s="14">
        <v>662</v>
      </c>
      <c r="B663" s="14" t="s">
        <v>1018</v>
      </c>
      <c r="C663" s="14">
        <v>41</v>
      </c>
      <c r="D663" s="14" t="str">
        <f>IFERROR(INDEX(Teams!$B$2:$B$49,MATCH($C663,Teams!$A$2:$A$49,0)),"")</f>
        <v>Jordan</v>
      </c>
      <c r="E663" s="14" t="s">
        <v>354</v>
      </c>
      <c r="F663" s="14">
        <v>12</v>
      </c>
    </row>
    <row r="664" spans="1:6" x14ac:dyDescent="0.3">
      <c r="A664" s="14">
        <v>663</v>
      </c>
      <c r="B664" s="14" t="s">
        <v>1019</v>
      </c>
      <c r="C664" s="14">
        <v>41</v>
      </c>
      <c r="D664" s="14" t="str">
        <f>IFERROR(INDEX(Teams!$B$2:$B$49,MATCH($C664,Teams!$A$2:$A$49,0)),"")</f>
        <v>Jordan</v>
      </c>
      <c r="E664" s="14" t="s">
        <v>363</v>
      </c>
      <c r="F664" s="14">
        <v>13</v>
      </c>
    </row>
    <row r="665" spans="1:6" x14ac:dyDescent="0.3">
      <c r="A665" s="14">
        <v>664</v>
      </c>
      <c r="B665" s="14" t="s">
        <v>1020</v>
      </c>
      <c r="C665" s="14">
        <v>41</v>
      </c>
      <c r="D665" s="14" t="str">
        <f>IFERROR(INDEX(Teams!$B$2:$B$49,MATCH($C665,Teams!$A$2:$A$49,0)),"")</f>
        <v>Jordan</v>
      </c>
      <c r="E665" s="14" t="s">
        <v>361</v>
      </c>
      <c r="F665" s="14">
        <v>14</v>
      </c>
    </row>
    <row r="666" spans="1:6" x14ac:dyDescent="0.3">
      <c r="A666" s="14">
        <v>665</v>
      </c>
      <c r="B666" s="14" t="s">
        <v>1021</v>
      </c>
      <c r="C666" s="14">
        <v>41</v>
      </c>
      <c r="D666" s="14" t="str">
        <f>IFERROR(INDEX(Teams!$B$2:$B$49,MATCH($C666,Teams!$A$2:$A$49,0)),"")</f>
        <v>Jordan</v>
      </c>
      <c r="E666" s="14" t="s">
        <v>361</v>
      </c>
      <c r="F666" s="14">
        <v>15</v>
      </c>
    </row>
    <row r="667" spans="1:6" x14ac:dyDescent="0.3">
      <c r="A667" s="14">
        <v>666</v>
      </c>
      <c r="B667" s="14" t="s">
        <v>1022</v>
      </c>
      <c r="C667" s="14">
        <v>41</v>
      </c>
      <c r="D667" s="14" t="str">
        <f>IFERROR(INDEX(Teams!$B$2:$B$49,MATCH($C667,Teams!$A$2:$A$49,0)),"")</f>
        <v>Jordan</v>
      </c>
      <c r="E667" s="14" t="s">
        <v>356</v>
      </c>
      <c r="F667" s="14">
        <v>16</v>
      </c>
    </row>
    <row r="668" spans="1:6" x14ac:dyDescent="0.3">
      <c r="A668" s="14">
        <v>667</v>
      </c>
      <c r="B668" s="14" t="s">
        <v>1023</v>
      </c>
      <c r="C668" s="14">
        <v>41</v>
      </c>
      <c r="D668" s="14" t="str">
        <f>IFERROR(INDEX(Teams!$B$2:$B$49,MATCH($C668,Teams!$A$2:$A$49,0)),"")</f>
        <v>Jordan</v>
      </c>
      <c r="E668" s="14" t="s">
        <v>356</v>
      </c>
      <c r="F668" s="14">
        <v>17</v>
      </c>
    </row>
    <row r="669" spans="1:6" x14ac:dyDescent="0.3">
      <c r="A669" s="14">
        <v>668</v>
      </c>
      <c r="B669" s="14" t="s">
        <v>1024</v>
      </c>
      <c r="C669" s="14">
        <v>41</v>
      </c>
      <c r="D669" s="14" t="str">
        <f>IFERROR(INDEX(Teams!$B$2:$B$49,MATCH($C669,Teams!$A$2:$A$49,0)),"")</f>
        <v>Jordan</v>
      </c>
      <c r="E669" s="14" t="s">
        <v>361</v>
      </c>
      <c r="F669" s="14">
        <v>18</v>
      </c>
    </row>
    <row r="670" spans="1:6" x14ac:dyDescent="0.3">
      <c r="A670" s="14">
        <v>669</v>
      </c>
      <c r="B670" s="14" t="s">
        <v>1025</v>
      </c>
      <c r="C670" s="14">
        <v>41</v>
      </c>
      <c r="D670" s="14" t="str">
        <f>IFERROR(INDEX(Teams!$B$2:$B$49,MATCH($C670,Teams!$A$2:$A$49,0)),"")</f>
        <v>Jordan</v>
      </c>
      <c r="E670" s="14" t="s">
        <v>356</v>
      </c>
      <c r="F670" s="14">
        <v>19</v>
      </c>
    </row>
    <row r="671" spans="1:6" x14ac:dyDescent="0.3">
      <c r="A671" s="14">
        <v>670</v>
      </c>
      <c r="B671" s="14" t="s">
        <v>1026</v>
      </c>
      <c r="C671" s="14">
        <v>41</v>
      </c>
      <c r="D671" s="14" t="str">
        <f>IFERROR(INDEX(Teams!$B$2:$B$49,MATCH($C671,Teams!$A$2:$A$49,0)),"")</f>
        <v>Jordan</v>
      </c>
      <c r="E671" s="14" t="s">
        <v>361</v>
      </c>
      <c r="F671" s="14">
        <v>20</v>
      </c>
    </row>
    <row r="672" spans="1:6" x14ac:dyDescent="0.3">
      <c r="A672" s="14">
        <v>671</v>
      </c>
      <c r="B672" s="14" t="s">
        <v>1027</v>
      </c>
      <c r="C672" s="14">
        <v>41</v>
      </c>
      <c r="D672" s="14" t="str">
        <f>IFERROR(INDEX(Teams!$B$2:$B$49,MATCH($C672,Teams!$A$2:$A$49,0)),"")</f>
        <v>Jordan</v>
      </c>
      <c r="E672" s="14" t="s">
        <v>361</v>
      </c>
      <c r="F672" s="14">
        <v>21</v>
      </c>
    </row>
    <row r="673" spans="1:6" x14ac:dyDescent="0.3">
      <c r="A673" s="14">
        <v>672</v>
      </c>
      <c r="B673" s="14" t="s">
        <v>1028</v>
      </c>
      <c r="C673" s="14">
        <v>41</v>
      </c>
      <c r="D673" s="14" t="str">
        <f>IFERROR(INDEX(Teams!$B$2:$B$49,MATCH($C673,Teams!$A$2:$A$49,0)),"")</f>
        <v>Jordan</v>
      </c>
      <c r="E673" s="14" t="s">
        <v>354</v>
      </c>
      <c r="F673" s="14">
        <v>22</v>
      </c>
    </row>
    <row r="674" spans="1:6" x14ac:dyDescent="0.3">
      <c r="A674" s="14">
        <v>673</v>
      </c>
      <c r="B674" s="14" t="s">
        <v>1029</v>
      </c>
      <c r="C674" s="14">
        <v>41</v>
      </c>
      <c r="D674" s="14" t="str">
        <f>IFERROR(INDEX(Teams!$B$2:$B$49,MATCH($C674,Teams!$A$2:$A$49,0)),"")</f>
        <v>Jordan</v>
      </c>
      <c r="E674" s="14" t="s">
        <v>356</v>
      </c>
      <c r="F674" s="14">
        <v>23</v>
      </c>
    </row>
    <row r="675" spans="1:6" x14ac:dyDescent="0.3">
      <c r="A675" s="14">
        <v>674</v>
      </c>
      <c r="B675" s="14" t="s">
        <v>1030</v>
      </c>
      <c r="C675" s="14">
        <v>41</v>
      </c>
      <c r="D675" s="14" t="str">
        <f>IFERROR(INDEX(Teams!$B$2:$B$49,MATCH($C675,Teams!$A$2:$A$49,0)),"")</f>
        <v>Jordan</v>
      </c>
      <c r="E675" s="14" t="s">
        <v>363</v>
      </c>
      <c r="F675" s="14">
        <v>24</v>
      </c>
    </row>
    <row r="676" spans="1:6" x14ac:dyDescent="0.3">
      <c r="A676" s="14">
        <v>675</v>
      </c>
      <c r="B676" s="14" t="s">
        <v>1031</v>
      </c>
      <c r="C676" s="14">
        <v>41</v>
      </c>
      <c r="D676" s="14" t="str">
        <f>IFERROR(INDEX(Teams!$B$2:$B$49,MATCH($C676,Teams!$A$2:$A$49,0)),"")</f>
        <v>Jordan</v>
      </c>
      <c r="E676" s="14" t="s">
        <v>361</v>
      </c>
      <c r="F676" s="14">
        <v>25</v>
      </c>
    </row>
    <row r="677" spans="1:6" x14ac:dyDescent="0.3">
      <c r="A677" s="14">
        <v>676</v>
      </c>
      <c r="B677" s="14" t="s">
        <v>1032</v>
      </c>
      <c r="C677" s="14">
        <v>41</v>
      </c>
      <c r="D677" s="14" t="str">
        <f>IFERROR(INDEX(Teams!$B$2:$B$49,MATCH($C677,Teams!$A$2:$A$49,0)),"")</f>
        <v>Jordan</v>
      </c>
      <c r="E677" s="14" t="s">
        <v>356</v>
      </c>
      <c r="F677" s="14">
        <v>26</v>
      </c>
    </row>
    <row r="678" spans="1:6" x14ac:dyDescent="0.3">
      <c r="A678" s="14">
        <v>677</v>
      </c>
      <c r="B678" s="14" t="s">
        <v>1033</v>
      </c>
      <c r="C678" s="14">
        <v>31</v>
      </c>
      <c r="D678" s="14" t="str">
        <f>IFERROR(INDEX(Teams!$B$2:$B$49,MATCH($C678,Teams!$A$2:$A$49,0)),"")</f>
        <v>Korea Republic</v>
      </c>
      <c r="E678" s="14" t="s">
        <v>354</v>
      </c>
      <c r="F678" s="14">
        <v>1</v>
      </c>
    </row>
    <row r="679" spans="1:6" x14ac:dyDescent="0.3">
      <c r="A679" s="14">
        <v>678</v>
      </c>
      <c r="B679" s="14" t="s">
        <v>1034</v>
      </c>
      <c r="C679" s="14">
        <v>31</v>
      </c>
      <c r="D679" s="14" t="str">
        <f>IFERROR(INDEX(Teams!$B$2:$B$49,MATCH($C679,Teams!$A$2:$A$49,0)),"")</f>
        <v>Korea Republic</v>
      </c>
      <c r="E679" s="14" t="s">
        <v>356</v>
      </c>
      <c r="F679" s="14">
        <v>2</v>
      </c>
    </row>
    <row r="680" spans="1:6" x14ac:dyDescent="0.3">
      <c r="A680" s="14">
        <v>679</v>
      </c>
      <c r="B680" s="14" t="s">
        <v>1035</v>
      </c>
      <c r="C680" s="14">
        <v>31</v>
      </c>
      <c r="D680" s="14" t="str">
        <f>IFERROR(INDEX(Teams!$B$2:$B$49,MATCH($C680,Teams!$A$2:$A$49,0)),"")</f>
        <v>Korea Republic</v>
      </c>
      <c r="E680" s="14" t="s">
        <v>361</v>
      </c>
      <c r="F680" s="14">
        <v>3</v>
      </c>
    </row>
    <row r="681" spans="1:6" x14ac:dyDescent="0.3">
      <c r="A681" s="14">
        <v>680</v>
      </c>
      <c r="B681" s="14" t="s">
        <v>1036</v>
      </c>
      <c r="C681" s="14">
        <v>31</v>
      </c>
      <c r="D681" s="14" t="str">
        <f>IFERROR(INDEX(Teams!$B$2:$B$49,MATCH($C681,Teams!$A$2:$A$49,0)),"")</f>
        <v>Korea Republic</v>
      </c>
      <c r="E681" s="14" t="s">
        <v>356</v>
      </c>
      <c r="F681" s="14">
        <v>4</v>
      </c>
    </row>
    <row r="682" spans="1:6" x14ac:dyDescent="0.3">
      <c r="A682" s="14">
        <v>681</v>
      </c>
      <c r="B682" s="14" t="s">
        <v>1037</v>
      </c>
      <c r="C682" s="14">
        <v>31</v>
      </c>
      <c r="D682" s="14" t="str">
        <f>IFERROR(INDEX(Teams!$B$2:$B$49,MATCH($C682,Teams!$A$2:$A$49,0)),"")</f>
        <v>Korea Republic</v>
      </c>
      <c r="E682" s="14" t="s">
        <v>356</v>
      </c>
      <c r="F682" s="14">
        <v>5</v>
      </c>
    </row>
    <row r="683" spans="1:6" x14ac:dyDescent="0.3">
      <c r="A683" s="14">
        <v>682</v>
      </c>
      <c r="B683" s="14" t="s">
        <v>1038</v>
      </c>
      <c r="C683" s="14">
        <v>31</v>
      </c>
      <c r="D683" s="14" t="str">
        <f>IFERROR(INDEX(Teams!$B$2:$B$49,MATCH($C683,Teams!$A$2:$A$49,0)),"")</f>
        <v>Korea Republic</v>
      </c>
      <c r="E683" s="14" t="s">
        <v>361</v>
      </c>
      <c r="F683" s="14">
        <v>6</v>
      </c>
    </row>
    <row r="684" spans="1:6" x14ac:dyDescent="0.3">
      <c r="A684" s="14">
        <v>683</v>
      </c>
      <c r="B684" s="14" t="s">
        <v>1039</v>
      </c>
      <c r="C684" s="14">
        <v>31</v>
      </c>
      <c r="D684" s="14" t="str">
        <f>IFERROR(INDEX(Teams!$B$2:$B$49,MATCH($C684,Teams!$A$2:$A$49,0)),"")</f>
        <v>Korea Republic</v>
      </c>
      <c r="E684" s="14" t="s">
        <v>363</v>
      </c>
      <c r="F684" s="14">
        <v>7</v>
      </c>
    </row>
    <row r="685" spans="1:6" x14ac:dyDescent="0.3">
      <c r="A685" s="14">
        <v>684</v>
      </c>
      <c r="B685" s="14" t="s">
        <v>1040</v>
      </c>
      <c r="C685" s="14">
        <v>31</v>
      </c>
      <c r="D685" s="14" t="str">
        <f>IFERROR(INDEX(Teams!$B$2:$B$49,MATCH($C685,Teams!$A$2:$A$49,0)),"")</f>
        <v>Korea Republic</v>
      </c>
      <c r="E685" s="14" t="s">
        <v>361</v>
      </c>
      <c r="F685" s="14">
        <v>8</v>
      </c>
    </row>
    <row r="686" spans="1:6" x14ac:dyDescent="0.3">
      <c r="A686" s="14">
        <v>685</v>
      </c>
      <c r="B686" s="14" t="s">
        <v>1041</v>
      </c>
      <c r="C686" s="14">
        <v>31</v>
      </c>
      <c r="D686" s="14" t="str">
        <f>IFERROR(INDEX(Teams!$B$2:$B$49,MATCH($C686,Teams!$A$2:$A$49,0)),"")</f>
        <v>Korea Republic</v>
      </c>
      <c r="E686" s="14" t="s">
        <v>363</v>
      </c>
      <c r="F686" s="14">
        <v>9</v>
      </c>
    </row>
    <row r="687" spans="1:6" x14ac:dyDescent="0.3">
      <c r="A687" s="14">
        <v>686</v>
      </c>
      <c r="B687" s="14" t="s">
        <v>1042</v>
      </c>
      <c r="C687" s="14">
        <v>31</v>
      </c>
      <c r="D687" s="14" t="str">
        <f>IFERROR(INDEX(Teams!$B$2:$B$49,MATCH($C687,Teams!$A$2:$A$49,0)),"")</f>
        <v>Korea Republic</v>
      </c>
      <c r="E687" s="14" t="s">
        <v>361</v>
      </c>
      <c r="F687" s="14">
        <v>10</v>
      </c>
    </row>
    <row r="688" spans="1:6" x14ac:dyDescent="0.3">
      <c r="A688" s="14">
        <v>687</v>
      </c>
      <c r="B688" s="14" t="s">
        <v>1043</v>
      </c>
      <c r="C688" s="14">
        <v>31</v>
      </c>
      <c r="D688" s="14" t="str">
        <f>IFERROR(INDEX(Teams!$B$2:$B$49,MATCH($C688,Teams!$A$2:$A$49,0)),"")</f>
        <v>Korea Republic</v>
      </c>
      <c r="E688" s="14" t="s">
        <v>361</v>
      </c>
      <c r="F688" s="14">
        <v>11</v>
      </c>
    </row>
    <row r="689" spans="1:6" x14ac:dyDescent="0.3">
      <c r="A689" s="14">
        <v>688</v>
      </c>
      <c r="B689" s="14" t="s">
        <v>1044</v>
      </c>
      <c r="C689" s="14">
        <v>31</v>
      </c>
      <c r="D689" s="14" t="str">
        <f>IFERROR(INDEX(Teams!$B$2:$B$49,MATCH($C689,Teams!$A$2:$A$49,0)),"")</f>
        <v>Korea Republic</v>
      </c>
      <c r="E689" s="14" t="s">
        <v>354</v>
      </c>
      <c r="F689" s="14">
        <v>12</v>
      </c>
    </row>
    <row r="690" spans="1:6" x14ac:dyDescent="0.3">
      <c r="A690" s="14">
        <v>689</v>
      </c>
      <c r="B690" s="14" t="s">
        <v>1045</v>
      </c>
      <c r="C690" s="14">
        <v>31</v>
      </c>
      <c r="D690" s="14" t="str">
        <f>IFERROR(INDEX(Teams!$B$2:$B$49,MATCH($C690,Teams!$A$2:$A$49,0)),"")</f>
        <v>Korea Republic</v>
      </c>
      <c r="E690" s="14" t="s">
        <v>356</v>
      </c>
      <c r="F690" s="14">
        <v>13</v>
      </c>
    </row>
    <row r="691" spans="1:6" x14ac:dyDescent="0.3">
      <c r="A691" s="14">
        <v>690</v>
      </c>
      <c r="B691" s="14" t="s">
        <v>1046</v>
      </c>
      <c r="C691" s="14">
        <v>31</v>
      </c>
      <c r="D691" s="14" t="str">
        <f>IFERROR(INDEX(Teams!$B$2:$B$49,MATCH($C691,Teams!$A$2:$A$49,0)),"")</f>
        <v>Korea Republic</v>
      </c>
      <c r="E691" s="14" t="s">
        <v>356</v>
      </c>
      <c r="F691" s="14">
        <v>14</v>
      </c>
    </row>
    <row r="692" spans="1:6" x14ac:dyDescent="0.3">
      <c r="A692" s="14">
        <v>691</v>
      </c>
      <c r="B692" s="14" t="s">
        <v>1047</v>
      </c>
      <c r="C692" s="14">
        <v>31</v>
      </c>
      <c r="D692" s="14" t="str">
        <f>IFERROR(INDEX(Teams!$B$2:$B$49,MATCH($C692,Teams!$A$2:$A$49,0)),"")</f>
        <v>Korea Republic</v>
      </c>
      <c r="E692" s="14" t="s">
        <v>356</v>
      </c>
      <c r="F692" s="14">
        <v>15</v>
      </c>
    </row>
    <row r="693" spans="1:6" x14ac:dyDescent="0.3">
      <c r="A693" s="14">
        <v>692</v>
      </c>
      <c r="B693" s="14" t="s">
        <v>1048</v>
      </c>
      <c r="C693" s="14">
        <v>31</v>
      </c>
      <c r="D693" s="14" t="str">
        <f>IFERROR(INDEX(Teams!$B$2:$B$49,MATCH($C693,Teams!$A$2:$A$49,0)),"")</f>
        <v>Korea Republic</v>
      </c>
      <c r="E693" s="14" t="s">
        <v>356</v>
      </c>
      <c r="F693" s="14">
        <v>16</v>
      </c>
    </row>
    <row r="694" spans="1:6" x14ac:dyDescent="0.3">
      <c r="A694" s="14">
        <v>693</v>
      </c>
      <c r="B694" s="14" t="s">
        <v>1049</v>
      </c>
      <c r="C694" s="14">
        <v>31</v>
      </c>
      <c r="D694" s="14" t="str">
        <f>IFERROR(INDEX(Teams!$B$2:$B$49,MATCH($C694,Teams!$A$2:$A$49,0)),"")</f>
        <v>Korea Republic</v>
      </c>
      <c r="E694" s="14" t="s">
        <v>361</v>
      </c>
      <c r="F694" s="14">
        <v>17</v>
      </c>
    </row>
    <row r="695" spans="1:6" x14ac:dyDescent="0.3">
      <c r="A695" s="14">
        <v>694</v>
      </c>
      <c r="B695" s="14" t="s">
        <v>1050</v>
      </c>
      <c r="C695" s="14">
        <v>31</v>
      </c>
      <c r="D695" s="14" t="str">
        <f>IFERROR(INDEX(Teams!$B$2:$B$49,MATCH($C695,Teams!$A$2:$A$49,0)),"")</f>
        <v>Korea Republic</v>
      </c>
      <c r="E695" s="14" t="s">
        <v>363</v>
      </c>
      <c r="F695" s="14">
        <v>18</v>
      </c>
    </row>
    <row r="696" spans="1:6" x14ac:dyDescent="0.3">
      <c r="A696" s="14">
        <v>695</v>
      </c>
      <c r="B696" s="14" t="s">
        <v>1051</v>
      </c>
      <c r="C696" s="14">
        <v>31</v>
      </c>
      <c r="D696" s="14" t="str">
        <f>IFERROR(INDEX(Teams!$B$2:$B$49,MATCH($C696,Teams!$A$2:$A$49,0)),"")</f>
        <v>Korea Republic</v>
      </c>
      <c r="E696" s="14" t="s">
        <v>361</v>
      </c>
      <c r="F696" s="14">
        <v>19</v>
      </c>
    </row>
    <row r="697" spans="1:6" x14ac:dyDescent="0.3">
      <c r="A697" s="14">
        <v>696</v>
      </c>
      <c r="B697" s="14" t="s">
        <v>1052</v>
      </c>
      <c r="C697" s="14">
        <v>31</v>
      </c>
      <c r="D697" s="14" t="str">
        <f>IFERROR(INDEX(Teams!$B$2:$B$49,MATCH($C697,Teams!$A$2:$A$49,0)),"")</f>
        <v>Korea Republic</v>
      </c>
      <c r="E697" s="14" t="s">
        <v>361</v>
      </c>
      <c r="F697" s="14">
        <v>20</v>
      </c>
    </row>
    <row r="698" spans="1:6" x14ac:dyDescent="0.3">
      <c r="A698" s="14">
        <v>697</v>
      </c>
      <c r="B698" s="14" t="s">
        <v>1053</v>
      </c>
      <c r="C698" s="14">
        <v>31</v>
      </c>
      <c r="D698" s="14" t="str">
        <f>IFERROR(INDEX(Teams!$B$2:$B$49,MATCH($C698,Teams!$A$2:$A$49,0)),"")</f>
        <v>Korea Republic</v>
      </c>
      <c r="E698" s="14" t="s">
        <v>354</v>
      </c>
      <c r="F698" s="14">
        <v>21</v>
      </c>
    </row>
    <row r="699" spans="1:6" x14ac:dyDescent="0.3">
      <c r="A699" s="14">
        <v>698</v>
      </c>
      <c r="B699" s="14" t="s">
        <v>1054</v>
      </c>
      <c r="C699" s="14">
        <v>31</v>
      </c>
      <c r="D699" s="14" t="str">
        <f>IFERROR(INDEX(Teams!$B$2:$B$49,MATCH($C699,Teams!$A$2:$A$49,0)),"")</f>
        <v>Korea Republic</v>
      </c>
      <c r="E699" s="14" t="s">
        <v>356</v>
      </c>
      <c r="F699" s="14">
        <v>22</v>
      </c>
    </row>
    <row r="700" spans="1:6" x14ac:dyDescent="0.3">
      <c r="A700" s="14">
        <v>699</v>
      </c>
      <c r="B700" s="14" t="s">
        <v>1055</v>
      </c>
      <c r="C700" s="14">
        <v>31</v>
      </c>
      <c r="D700" s="14" t="str">
        <f>IFERROR(INDEX(Teams!$B$2:$B$49,MATCH($C700,Teams!$A$2:$A$49,0)),"")</f>
        <v>Korea Republic</v>
      </c>
      <c r="E700" s="14" t="s">
        <v>356</v>
      </c>
      <c r="F700" s="14">
        <v>23</v>
      </c>
    </row>
    <row r="701" spans="1:6" x14ac:dyDescent="0.3">
      <c r="A701" s="14">
        <v>700</v>
      </c>
      <c r="B701" s="14" t="s">
        <v>1056</v>
      </c>
      <c r="C701" s="14">
        <v>31</v>
      </c>
      <c r="D701" s="14" t="str">
        <f>IFERROR(INDEX(Teams!$B$2:$B$49,MATCH($C701,Teams!$A$2:$A$49,0)),"")</f>
        <v>Korea Republic</v>
      </c>
      <c r="E701" s="14" t="s">
        <v>361</v>
      </c>
      <c r="F701" s="14">
        <v>24</v>
      </c>
    </row>
    <row r="702" spans="1:6" x14ac:dyDescent="0.3">
      <c r="A702" s="14">
        <v>701</v>
      </c>
      <c r="B702" s="14" t="s">
        <v>1057</v>
      </c>
      <c r="C702" s="14">
        <v>31</v>
      </c>
      <c r="D702" s="14" t="str">
        <f>IFERROR(INDEX(Teams!$B$2:$B$49,MATCH($C702,Teams!$A$2:$A$49,0)),"")</f>
        <v>Korea Republic</v>
      </c>
      <c r="E702" s="14" t="s">
        <v>361</v>
      </c>
      <c r="F702" s="14">
        <v>25</v>
      </c>
    </row>
    <row r="703" spans="1:6" x14ac:dyDescent="0.3">
      <c r="A703" s="14">
        <v>702</v>
      </c>
      <c r="B703" s="14" t="s">
        <v>1058</v>
      </c>
      <c r="C703" s="14">
        <v>31</v>
      </c>
      <c r="D703" s="14" t="str">
        <f>IFERROR(INDEX(Teams!$B$2:$B$49,MATCH($C703,Teams!$A$2:$A$49,0)),"")</f>
        <v>Korea Republic</v>
      </c>
      <c r="E703" s="14" t="s">
        <v>361</v>
      </c>
      <c r="F703" s="14">
        <v>26</v>
      </c>
    </row>
    <row r="704" spans="1:6" x14ac:dyDescent="0.3">
      <c r="A704" s="14">
        <v>703</v>
      </c>
      <c r="B704" s="14" t="s">
        <v>1059</v>
      </c>
      <c r="C704" s="14">
        <v>8</v>
      </c>
      <c r="D704" s="14" t="str">
        <f>IFERROR(INDEX(Teams!$B$2:$B$49,MATCH($C704,Teams!$A$2:$A$49,0)),"")</f>
        <v>Mexico</v>
      </c>
      <c r="E704" s="14" t="s">
        <v>354</v>
      </c>
      <c r="F704" s="14">
        <v>1</v>
      </c>
    </row>
    <row r="705" spans="1:6" x14ac:dyDescent="0.3">
      <c r="A705" s="14">
        <v>704</v>
      </c>
      <c r="B705" s="14" t="s">
        <v>1060</v>
      </c>
      <c r="C705" s="14">
        <v>8</v>
      </c>
      <c r="D705" s="14" t="str">
        <f>IFERROR(INDEX(Teams!$B$2:$B$49,MATCH($C705,Teams!$A$2:$A$49,0)),"")</f>
        <v>Mexico</v>
      </c>
      <c r="E705" s="14" t="s">
        <v>356</v>
      </c>
      <c r="F705" s="14">
        <v>2</v>
      </c>
    </row>
    <row r="706" spans="1:6" x14ac:dyDescent="0.3">
      <c r="A706" s="14">
        <v>705</v>
      </c>
      <c r="B706" s="14" t="s">
        <v>1061</v>
      </c>
      <c r="C706" s="14">
        <v>8</v>
      </c>
      <c r="D706" s="14" t="str">
        <f>IFERROR(INDEX(Teams!$B$2:$B$49,MATCH($C706,Teams!$A$2:$A$49,0)),"")</f>
        <v>Mexico</v>
      </c>
      <c r="E706" s="14" t="s">
        <v>356</v>
      </c>
      <c r="F706" s="14">
        <v>3</v>
      </c>
    </row>
    <row r="707" spans="1:6" x14ac:dyDescent="0.3">
      <c r="A707" s="14">
        <v>706</v>
      </c>
      <c r="B707" s="14" t="s">
        <v>1062</v>
      </c>
      <c r="C707" s="14">
        <v>8</v>
      </c>
      <c r="D707" s="14" t="str">
        <f>IFERROR(INDEX(Teams!$B$2:$B$49,MATCH($C707,Teams!$A$2:$A$49,0)),"")</f>
        <v>Mexico</v>
      </c>
      <c r="E707" s="14" t="s">
        <v>356</v>
      </c>
      <c r="F707" s="14">
        <v>4</v>
      </c>
    </row>
    <row r="708" spans="1:6" x14ac:dyDescent="0.3">
      <c r="A708" s="14">
        <v>707</v>
      </c>
      <c r="B708" s="14" t="s">
        <v>1063</v>
      </c>
      <c r="C708" s="14">
        <v>8</v>
      </c>
      <c r="D708" s="14" t="str">
        <f>IFERROR(INDEX(Teams!$B$2:$B$49,MATCH($C708,Teams!$A$2:$A$49,0)),"")</f>
        <v>Mexico</v>
      </c>
      <c r="E708" s="14" t="s">
        <v>356</v>
      </c>
      <c r="F708" s="14">
        <v>5</v>
      </c>
    </row>
    <row r="709" spans="1:6" x14ac:dyDescent="0.3">
      <c r="A709" s="14">
        <v>708</v>
      </c>
      <c r="B709" s="14" t="s">
        <v>1064</v>
      </c>
      <c r="C709" s="14">
        <v>8</v>
      </c>
      <c r="D709" s="14" t="str">
        <f>IFERROR(INDEX(Teams!$B$2:$B$49,MATCH($C709,Teams!$A$2:$A$49,0)),"")</f>
        <v>Mexico</v>
      </c>
      <c r="E709" s="14" t="s">
        <v>361</v>
      </c>
      <c r="F709" s="14">
        <v>6</v>
      </c>
    </row>
    <row r="710" spans="1:6" x14ac:dyDescent="0.3">
      <c r="A710" s="14">
        <v>709</v>
      </c>
      <c r="B710" s="14" t="s">
        <v>1065</v>
      </c>
      <c r="C710" s="14">
        <v>8</v>
      </c>
      <c r="D710" s="14" t="str">
        <f>IFERROR(INDEX(Teams!$B$2:$B$49,MATCH($C710,Teams!$A$2:$A$49,0)),"")</f>
        <v>Mexico</v>
      </c>
      <c r="E710" s="14" t="s">
        <v>361</v>
      </c>
      <c r="F710" s="14">
        <v>7</v>
      </c>
    </row>
    <row r="711" spans="1:6" x14ac:dyDescent="0.3">
      <c r="A711" s="14">
        <v>710</v>
      </c>
      <c r="B711" s="14" t="s">
        <v>1066</v>
      </c>
      <c r="C711" s="14">
        <v>8</v>
      </c>
      <c r="D711" s="14" t="str">
        <f>IFERROR(INDEX(Teams!$B$2:$B$49,MATCH($C711,Teams!$A$2:$A$49,0)),"")</f>
        <v>Mexico</v>
      </c>
      <c r="E711" s="14" t="s">
        <v>361</v>
      </c>
      <c r="F711" s="14">
        <v>8</v>
      </c>
    </row>
    <row r="712" spans="1:6" x14ac:dyDescent="0.3">
      <c r="A712" s="14">
        <v>711</v>
      </c>
      <c r="B712" s="14" t="s">
        <v>1067</v>
      </c>
      <c r="C712" s="14">
        <v>8</v>
      </c>
      <c r="D712" s="14" t="str">
        <f>IFERROR(INDEX(Teams!$B$2:$B$49,MATCH($C712,Teams!$A$2:$A$49,0)),"")</f>
        <v>Mexico</v>
      </c>
      <c r="E712" s="14" t="s">
        <v>363</v>
      </c>
      <c r="F712" s="14">
        <v>9</v>
      </c>
    </row>
    <row r="713" spans="1:6" x14ac:dyDescent="0.3">
      <c r="A713" s="14">
        <v>712</v>
      </c>
      <c r="B713" s="14" t="s">
        <v>1068</v>
      </c>
      <c r="C713" s="14">
        <v>8</v>
      </c>
      <c r="D713" s="14" t="str">
        <f>IFERROR(INDEX(Teams!$B$2:$B$49,MATCH($C713,Teams!$A$2:$A$49,0)),"")</f>
        <v>Mexico</v>
      </c>
      <c r="E713" s="14" t="s">
        <v>363</v>
      </c>
      <c r="F713" s="14">
        <v>10</v>
      </c>
    </row>
    <row r="714" spans="1:6" x14ac:dyDescent="0.3">
      <c r="A714" s="14">
        <v>713</v>
      </c>
      <c r="B714" s="14" t="s">
        <v>1069</v>
      </c>
      <c r="C714" s="14">
        <v>8</v>
      </c>
      <c r="D714" s="14" t="str">
        <f>IFERROR(INDEX(Teams!$B$2:$B$49,MATCH($C714,Teams!$A$2:$A$49,0)),"")</f>
        <v>Mexico</v>
      </c>
      <c r="E714" s="14" t="s">
        <v>363</v>
      </c>
      <c r="F714" s="14">
        <v>11</v>
      </c>
    </row>
    <row r="715" spans="1:6" x14ac:dyDescent="0.3">
      <c r="A715" s="14">
        <v>714</v>
      </c>
      <c r="B715" s="14" t="s">
        <v>1070</v>
      </c>
      <c r="C715" s="14">
        <v>8</v>
      </c>
      <c r="D715" s="14" t="str">
        <f>IFERROR(INDEX(Teams!$B$2:$B$49,MATCH($C715,Teams!$A$2:$A$49,0)),"")</f>
        <v>Mexico</v>
      </c>
      <c r="E715" s="14" t="s">
        <v>354</v>
      </c>
      <c r="F715" s="14">
        <v>12</v>
      </c>
    </row>
    <row r="716" spans="1:6" x14ac:dyDescent="0.3">
      <c r="A716" s="14">
        <v>715</v>
      </c>
      <c r="B716" s="14" t="s">
        <v>1071</v>
      </c>
      <c r="C716" s="14">
        <v>8</v>
      </c>
      <c r="D716" s="14" t="str">
        <f>IFERROR(INDEX(Teams!$B$2:$B$49,MATCH($C716,Teams!$A$2:$A$49,0)),"")</f>
        <v>Mexico</v>
      </c>
      <c r="E716" s="14" t="s">
        <v>354</v>
      </c>
      <c r="F716" s="14">
        <v>13</v>
      </c>
    </row>
    <row r="717" spans="1:6" x14ac:dyDescent="0.3">
      <c r="A717" s="14">
        <v>716</v>
      </c>
      <c r="B717" s="14" t="s">
        <v>1072</v>
      </c>
      <c r="C717" s="14">
        <v>8</v>
      </c>
      <c r="D717" s="14" t="str">
        <f>IFERROR(INDEX(Teams!$B$2:$B$49,MATCH($C717,Teams!$A$2:$A$49,0)),"")</f>
        <v>Mexico</v>
      </c>
      <c r="E717" s="14" t="s">
        <v>363</v>
      </c>
      <c r="F717" s="14">
        <v>14</v>
      </c>
    </row>
    <row r="718" spans="1:6" x14ac:dyDescent="0.3">
      <c r="A718" s="14">
        <v>717</v>
      </c>
      <c r="B718" s="14" t="s">
        <v>1073</v>
      </c>
      <c r="C718" s="14">
        <v>8</v>
      </c>
      <c r="D718" s="14" t="str">
        <f>IFERROR(INDEX(Teams!$B$2:$B$49,MATCH($C718,Teams!$A$2:$A$49,0)),"")</f>
        <v>Mexico</v>
      </c>
      <c r="E718" s="14" t="s">
        <v>356</v>
      </c>
      <c r="F718" s="14">
        <v>15</v>
      </c>
    </row>
    <row r="719" spans="1:6" x14ac:dyDescent="0.3">
      <c r="A719" s="14">
        <v>718</v>
      </c>
      <c r="B719" s="14" t="s">
        <v>1074</v>
      </c>
      <c r="C719" s="14">
        <v>8</v>
      </c>
      <c r="D719" s="14" t="str">
        <f>IFERROR(INDEX(Teams!$B$2:$B$49,MATCH($C719,Teams!$A$2:$A$49,0)),"")</f>
        <v>Mexico</v>
      </c>
      <c r="E719" s="14" t="s">
        <v>363</v>
      </c>
      <c r="F719" s="14">
        <v>16</v>
      </c>
    </row>
    <row r="720" spans="1:6" x14ac:dyDescent="0.3">
      <c r="A720" s="14">
        <v>719</v>
      </c>
      <c r="B720" s="14" t="s">
        <v>1075</v>
      </c>
      <c r="C720" s="14">
        <v>8</v>
      </c>
      <c r="D720" s="14" t="str">
        <f>IFERROR(INDEX(Teams!$B$2:$B$49,MATCH($C720,Teams!$A$2:$A$49,0)),"")</f>
        <v>Mexico</v>
      </c>
      <c r="E720" s="14" t="s">
        <v>361</v>
      </c>
      <c r="F720" s="14">
        <v>17</v>
      </c>
    </row>
    <row r="721" spans="1:6" x14ac:dyDescent="0.3">
      <c r="A721" s="14">
        <v>720</v>
      </c>
      <c r="B721" s="14" t="s">
        <v>1076</v>
      </c>
      <c r="C721" s="14">
        <v>8</v>
      </c>
      <c r="D721" s="14" t="str">
        <f>IFERROR(INDEX(Teams!$B$2:$B$49,MATCH($C721,Teams!$A$2:$A$49,0)),"")</f>
        <v>Mexico</v>
      </c>
      <c r="E721" s="14" t="s">
        <v>361</v>
      </c>
      <c r="F721" s="14">
        <v>18</v>
      </c>
    </row>
    <row r="722" spans="1:6" x14ac:dyDescent="0.3">
      <c r="A722" s="14">
        <v>721</v>
      </c>
      <c r="B722" s="14" t="s">
        <v>1077</v>
      </c>
      <c r="C722" s="14">
        <v>8</v>
      </c>
      <c r="D722" s="14" t="str">
        <f>IFERROR(INDEX(Teams!$B$2:$B$49,MATCH($C722,Teams!$A$2:$A$49,0)),"")</f>
        <v>Mexico</v>
      </c>
      <c r="E722" s="14" t="s">
        <v>361</v>
      </c>
      <c r="F722" s="14">
        <v>19</v>
      </c>
    </row>
    <row r="723" spans="1:6" x14ac:dyDescent="0.3">
      <c r="A723" s="14">
        <v>722</v>
      </c>
      <c r="B723" s="14" t="s">
        <v>1078</v>
      </c>
      <c r="C723" s="14">
        <v>8</v>
      </c>
      <c r="D723" s="14" t="str">
        <f>IFERROR(INDEX(Teams!$B$2:$B$49,MATCH($C723,Teams!$A$2:$A$49,0)),"")</f>
        <v>Mexico</v>
      </c>
      <c r="E723" s="14" t="s">
        <v>356</v>
      </c>
      <c r="F723" s="14">
        <v>20</v>
      </c>
    </row>
    <row r="724" spans="1:6" x14ac:dyDescent="0.3">
      <c r="A724" s="14">
        <v>723</v>
      </c>
      <c r="B724" s="14" t="s">
        <v>1079</v>
      </c>
      <c r="C724" s="14">
        <v>8</v>
      </c>
      <c r="D724" s="14" t="str">
        <f>IFERROR(INDEX(Teams!$B$2:$B$49,MATCH($C724,Teams!$A$2:$A$49,0)),"")</f>
        <v>Mexico</v>
      </c>
      <c r="E724" s="14" t="s">
        <v>363</v>
      </c>
      <c r="F724" s="14">
        <v>21</v>
      </c>
    </row>
    <row r="725" spans="1:6" x14ac:dyDescent="0.3">
      <c r="A725" s="14">
        <v>724</v>
      </c>
      <c r="B725" s="14" t="s">
        <v>1080</v>
      </c>
      <c r="C725" s="14">
        <v>8</v>
      </c>
      <c r="D725" s="14" t="str">
        <f>IFERROR(INDEX(Teams!$B$2:$B$49,MATCH($C725,Teams!$A$2:$A$49,0)),"")</f>
        <v>Mexico</v>
      </c>
      <c r="E725" s="14" t="s">
        <v>363</v>
      </c>
      <c r="F725" s="14">
        <v>22</v>
      </c>
    </row>
    <row r="726" spans="1:6" x14ac:dyDescent="0.3">
      <c r="A726" s="14">
        <v>725</v>
      </c>
      <c r="B726" s="14" t="s">
        <v>1081</v>
      </c>
      <c r="C726" s="14">
        <v>8</v>
      </c>
      <c r="D726" s="14" t="str">
        <f>IFERROR(INDEX(Teams!$B$2:$B$49,MATCH($C726,Teams!$A$2:$A$49,0)),"")</f>
        <v>Mexico</v>
      </c>
      <c r="E726" s="14" t="s">
        <v>356</v>
      </c>
      <c r="F726" s="14">
        <v>23</v>
      </c>
    </row>
    <row r="727" spans="1:6" x14ac:dyDescent="0.3">
      <c r="A727" s="14">
        <v>726</v>
      </c>
      <c r="B727" s="14" t="s">
        <v>1082</v>
      </c>
      <c r="C727" s="14">
        <v>8</v>
      </c>
      <c r="D727" s="14" t="str">
        <f>IFERROR(INDEX(Teams!$B$2:$B$49,MATCH($C727,Teams!$A$2:$A$49,0)),"")</f>
        <v>Mexico</v>
      </c>
      <c r="E727" s="14" t="s">
        <v>361</v>
      </c>
      <c r="F727" s="14">
        <v>24</v>
      </c>
    </row>
    <row r="728" spans="1:6" x14ac:dyDescent="0.3">
      <c r="A728" s="14">
        <v>727</v>
      </c>
      <c r="B728" s="14" t="s">
        <v>1083</v>
      </c>
      <c r="C728" s="14">
        <v>8</v>
      </c>
      <c r="D728" s="14" t="str">
        <f>IFERROR(INDEX(Teams!$B$2:$B$49,MATCH($C728,Teams!$A$2:$A$49,0)),"")</f>
        <v>Mexico</v>
      </c>
      <c r="E728" s="14" t="s">
        <v>363</v>
      </c>
      <c r="F728" s="14">
        <v>25</v>
      </c>
    </row>
    <row r="729" spans="1:6" x14ac:dyDescent="0.3">
      <c r="A729" s="14">
        <v>728</v>
      </c>
      <c r="B729" s="14" t="s">
        <v>1084</v>
      </c>
      <c r="C729" s="14">
        <v>8</v>
      </c>
      <c r="D729" s="14" t="str">
        <f>IFERROR(INDEX(Teams!$B$2:$B$49,MATCH($C729,Teams!$A$2:$A$49,0)),"")</f>
        <v>Mexico</v>
      </c>
      <c r="E729" s="14" t="s">
        <v>361</v>
      </c>
      <c r="F729" s="14">
        <v>26</v>
      </c>
    </row>
    <row r="730" spans="1:6" x14ac:dyDescent="0.3">
      <c r="A730" s="14">
        <v>729</v>
      </c>
      <c r="B730" s="14" t="s">
        <v>1085</v>
      </c>
      <c r="C730" s="14">
        <v>21</v>
      </c>
      <c r="D730" s="14" t="str">
        <f>IFERROR(INDEX(Teams!$B$2:$B$49,MATCH($C730,Teams!$A$2:$A$49,0)),"")</f>
        <v>Morocco</v>
      </c>
      <c r="E730" s="14" t="s">
        <v>354</v>
      </c>
      <c r="F730" s="14">
        <v>1</v>
      </c>
    </row>
    <row r="731" spans="1:6" x14ac:dyDescent="0.3">
      <c r="A731" s="14">
        <v>730</v>
      </c>
      <c r="B731" s="14" t="s">
        <v>1086</v>
      </c>
      <c r="C731" s="14">
        <v>21</v>
      </c>
      <c r="D731" s="14" t="str">
        <f>IFERROR(INDEX(Teams!$B$2:$B$49,MATCH($C731,Teams!$A$2:$A$49,0)),"")</f>
        <v>Morocco</v>
      </c>
      <c r="E731" s="14" t="s">
        <v>356</v>
      </c>
      <c r="F731" s="14">
        <v>2</v>
      </c>
    </row>
    <row r="732" spans="1:6" x14ac:dyDescent="0.3">
      <c r="A732" s="14">
        <v>731</v>
      </c>
      <c r="B732" s="14" t="s">
        <v>1087</v>
      </c>
      <c r="C732" s="14">
        <v>21</v>
      </c>
      <c r="D732" s="14" t="str">
        <f>IFERROR(INDEX(Teams!$B$2:$B$49,MATCH($C732,Teams!$A$2:$A$49,0)),"")</f>
        <v>Morocco</v>
      </c>
      <c r="E732" s="14" t="s">
        <v>356</v>
      </c>
      <c r="F732" s="14">
        <v>3</v>
      </c>
    </row>
    <row r="733" spans="1:6" x14ac:dyDescent="0.3">
      <c r="A733" s="14">
        <v>732</v>
      </c>
      <c r="B733" s="14" t="s">
        <v>1088</v>
      </c>
      <c r="C733" s="14">
        <v>21</v>
      </c>
      <c r="D733" s="14" t="str">
        <f>IFERROR(INDEX(Teams!$B$2:$B$49,MATCH($C733,Teams!$A$2:$A$49,0)),"")</f>
        <v>Morocco</v>
      </c>
      <c r="E733" s="14" t="s">
        <v>361</v>
      </c>
      <c r="F733" s="14">
        <v>4</v>
      </c>
    </row>
    <row r="734" spans="1:6" x14ac:dyDescent="0.3">
      <c r="A734" s="14">
        <v>733</v>
      </c>
      <c r="B734" s="14" t="s">
        <v>1089</v>
      </c>
      <c r="C734" s="14">
        <v>21</v>
      </c>
      <c r="D734" s="14" t="str">
        <f>IFERROR(INDEX(Teams!$B$2:$B$49,MATCH($C734,Teams!$A$2:$A$49,0)),"")</f>
        <v>Morocco</v>
      </c>
      <c r="E734" s="14" t="s">
        <v>356</v>
      </c>
      <c r="F734" s="14">
        <v>5</v>
      </c>
    </row>
    <row r="735" spans="1:6" x14ac:dyDescent="0.3">
      <c r="A735" s="14">
        <v>734</v>
      </c>
      <c r="B735" s="14" t="s">
        <v>1090</v>
      </c>
      <c r="C735" s="14">
        <v>21</v>
      </c>
      <c r="D735" s="14" t="str">
        <f>IFERROR(INDEX(Teams!$B$2:$B$49,MATCH($C735,Teams!$A$2:$A$49,0)),"")</f>
        <v>Morocco</v>
      </c>
      <c r="E735" s="14" t="s">
        <v>361</v>
      </c>
      <c r="F735" s="14">
        <v>6</v>
      </c>
    </row>
    <row r="736" spans="1:6" x14ac:dyDescent="0.3">
      <c r="A736" s="14">
        <v>735</v>
      </c>
      <c r="B736" s="14" t="s">
        <v>1091</v>
      </c>
      <c r="C736" s="14">
        <v>21</v>
      </c>
      <c r="D736" s="14" t="str">
        <f>IFERROR(INDEX(Teams!$B$2:$B$49,MATCH($C736,Teams!$A$2:$A$49,0)),"")</f>
        <v>Morocco</v>
      </c>
      <c r="E736" s="14" t="s">
        <v>361</v>
      </c>
      <c r="F736" s="14">
        <v>7</v>
      </c>
    </row>
    <row r="737" spans="1:6" x14ac:dyDescent="0.3">
      <c r="A737" s="14">
        <v>736</v>
      </c>
      <c r="B737" s="14" t="s">
        <v>1092</v>
      </c>
      <c r="C737" s="14">
        <v>21</v>
      </c>
      <c r="D737" s="14" t="str">
        <f>IFERROR(INDEX(Teams!$B$2:$B$49,MATCH($C737,Teams!$A$2:$A$49,0)),"")</f>
        <v>Morocco</v>
      </c>
      <c r="E737" s="14" t="s">
        <v>361</v>
      </c>
      <c r="F737" s="14">
        <v>8</v>
      </c>
    </row>
    <row r="738" spans="1:6" x14ac:dyDescent="0.3">
      <c r="A738" s="14">
        <v>737</v>
      </c>
      <c r="B738" s="14" t="s">
        <v>1093</v>
      </c>
      <c r="C738" s="14">
        <v>21</v>
      </c>
      <c r="D738" s="14" t="str">
        <f>IFERROR(INDEX(Teams!$B$2:$B$49,MATCH($C738,Teams!$A$2:$A$49,0)),"")</f>
        <v>Morocco</v>
      </c>
      <c r="E738" s="14" t="s">
        <v>363</v>
      </c>
      <c r="F738" s="14">
        <v>9</v>
      </c>
    </row>
    <row r="739" spans="1:6" x14ac:dyDescent="0.3">
      <c r="A739" s="14">
        <v>738</v>
      </c>
      <c r="B739" s="14" t="s">
        <v>1094</v>
      </c>
      <c r="C739" s="14">
        <v>21</v>
      </c>
      <c r="D739" s="14" t="str">
        <f>IFERROR(INDEX(Teams!$B$2:$B$49,MATCH($C739,Teams!$A$2:$A$49,0)),"")</f>
        <v>Morocco</v>
      </c>
      <c r="E739" s="14" t="s">
        <v>363</v>
      </c>
      <c r="F739" s="14">
        <v>10</v>
      </c>
    </row>
    <row r="740" spans="1:6" x14ac:dyDescent="0.3">
      <c r="A740" s="14">
        <v>739</v>
      </c>
      <c r="B740" s="14" t="s">
        <v>1095</v>
      </c>
      <c r="C740" s="14">
        <v>21</v>
      </c>
      <c r="D740" s="14" t="str">
        <f>IFERROR(INDEX(Teams!$B$2:$B$49,MATCH($C740,Teams!$A$2:$A$49,0)),"")</f>
        <v>Morocco</v>
      </c>
      <c r="E740" s="14" t="s">
        <v>361</v>
      </c>
      <c r="F740" s="14">
        <v>11</v>
      </c>
    </row>
    <row r="741" spans="1:6" x14ac:dyDescent="0.3">
      <c r="A741" s="14">
        <v>740</v>
      </c>
      <c r="B741" s="14" t="s">
        <v>1096</v>
      </c>
      <c r="C741" s="14">
        <v>21</v>
      </c>
      <c r="D741" s="14" t="str">
        <f>IFERROR(INDEX(Teams!$B$2:$B$49,MATCH($C741,Teams!$A$2:$A$49,0)),"")</f>
        <v>Morocco</v>
      </c>
      <c r="E741" s="14" t="s">
        <v>354</v>
      </c>
      <c r="F741" s="14">
        <v>12</v>
      </c>
    </row>
    <row r="742" spans="1:6" x14ac:dyDescent="0.3">
      <c r="A742" s="14">
        <v>741</v>
      </c>
      <c r="B742" s="14" t="s">
        <v>1097</v>
      </c>
      <c r="C742" s="14">
        <v>21</v>
      </c>
      <c r="D742" s="14" t="str">
        <f>IFERROR(INDEX(Teams!$B$2:$B$49,MATCH($C742,Teams!$A$2:$A$49,0)),"")</f>
        <v>Morocco</v>
      </c>
      <c r="E742" s="14" t="s">
        <v>356</v>
      </c>
      <c r="F742" s="14">
        <v>13</v>
      </c>
    </row>
    <row r="743" spans="1:6" x14ac:dyDescent="0.3">
      <c r="A743" s="14">
        <v>742</v>
      </c>
      <c r="B743" s="14" t="s">
        <v>1098</v>
      </c>
      <c r="C743" s="14">
        <v>21</v>
      </c>
      <c r="D743" s="14" t="str">
        <f>IFERROR(INDEX(Teams!$B$2:$B$49,MATCH($C743,Teams!$A$2:$A$49,0)),"")</f>
        <v>Morocco</v>
      </c>
      <c r="E743" s="14" t="s">
        <v>356</v>
      </c>
      <c r="F743" s="14">
        <v>14</v>
      </c>
    </row>
    <row r="744" spans="1:6" x14ac:dyDescent="0.3">
      <c r="A744" s="14">
        <v>743</v>
      </c>
      <c r="B744" s="14" t="s">
        <v>1099</v>
      </c>
      <c r="C744" s="14">
        <v>21</v>
      </c>
      <c r="D744" s="14" t="str">
        <f>IFERROR(INDEX(Teams!$B$2:$B$49,MATCH($C744,Teams!$A$2:$A$49,0)),"")</f>
        <v>Morocco</v>
      </c>
      <c r="E744" s="14" t="s">
        <v>361</v>
      </c>
      <c r="F744" s="14">
        <v>15</v>
      </c>
    </row>
    <row r="745" spans="1:6" x14ac:dyDescent="0.3">
      <c r="A745" s="14">
        <v>744</v>
      </c>
      <c r="B745" s="14" t="s">
        <v>1100</v>
      </c>
      <c r="C745" s="14">
        <v>21</v>
      </c>
      <c r="D745" s="14" t="str">
        <f>IFERROR(INDEX(Teams!$B$2:$B$49,MATCH($C745,Teams!$A$2:$A$49,0)),"")</f>
        <v>Morocco</v>
      </c>
      <c r="E745" s="14" t="s">
        <v>361</v>
      </c>
      <c r="F745" s="14">
        <v>16</v>
      </c>
    </row>
    <row r="746" spans="1:6" x14ac:dyDescent="0.3">
      <c r="A746" s="14">
        <v>745</v>
      </c>
      <c r="B746" s="14" t="s">
        <v>1101</v>
      </c>
      <c r="C746" s="14">
        <v>21</v>
      </c>
      <c r="D746" s="14" t="str">
        <f>IFERROR(INDEX(Teams!$B$2:$B$49,MATCH($C746,Teams!$A$2:$A$49,0)),"")</f>
        <v>Morocco</v>
      </c>
      <c r="E746" s="14" t="s">
        <v>363</v>
      </c>
      <c r="F746" s="14">
        <v>17</v>
      </c>
    </row>
    <row r="747" spans="1:6" x14ac:dyDescent="0.3">
      <c r="A747" s="14">
        <v>746</v>
      </c>
      <c r="B747" s="14" t="s">
        <v>1102</v>
      </c>
      <c r="C747" s="14">
        <v>21</v>
      </c>
      <c r="D747" s="14" t="str">
        <f>IFERROR(INDEX(Teams!$B$2:$B$49,MATCH($C747,Teams!$A$2:$A$49,0)),"")</f>
        <v>Morocco</v>
      </c>
      <c r="E747" s="14" t="s">
        <v>356</v>
      </c>
      <c r="F747" s="14">
        <v>18</v>
      </c>
    </row>
    <row r="748" spans="1:6" x14ac:dyDescent="0.3">
      <c r="A748" s="14">
        <v>747</v>
      </c>
      <c r="B748" s="14" t="s">
        <v>1103</v>
      </c>
      <c r="C748" s="14">
        <v>21</v>
      </c>
      <c r="D748" s="14" t="str">
        <f>IFERROR(INDEX(Teams!$B$2:$B$49,MATCH($C748,Teams!$A$2:$A$49,0)),"")</f>
        <v>Morocco</v>
      </c>
      <c r="E748" s="14" t="s">
        <v>356</v>
      </c>
      <c r="F748" s="14">
        <v>19</v>
      </c>
    </row>
    <row r="749" spans="1:6" x14ac:dyDescent="0.3">
      <c r="A749" s="14">
        <v>748</v>
      </c>
      <c r="B749" s="14" t="s">
        <v>1104</v>
      </c>
      <c r="C749" s="14">
        <v>21</v>
      </c>
      <c r="D749" s="14" t="str">
        <f>IFERROR(INDEX(Teams!$B$2:$B$49,MATCH($C749,Teams!$A$2:$A$49,0)),"")</f>
        <v>Morocco</v>
      </c>
      <c r="E749" s="14" t="s">
        <v>363</v>
      </c>
      <c r="F749" s="14">
        <v>20</v>
      </c>
    </row>
    <row r="750" spans="1:6" x14ac:dyDescent="0.3">
      <c r="A750" s="14">
        <v>749</v>
      </c>
      <c r="B750" s="14" t="s">
        <v>1105</v>
      </c>
      <c r="C750" s="14">
        <v>21</v>
      </c>
      <c r="D750" s="14" t="str">
        <f>IFERROR(INDEX(Teams!$B$2:$B$49,MATCH($C750,Teams!$A$2:$A$49,0)),"")</f>
        <v>Morocco</v>
      </c>
      <c r="E750" s="14" t="s">
        <v>363</v>
      </c>
      <c r="F750" s="14">
        <v>21</v>
      </c>
    </row>
    <row r="751" spans="1:6" x14ac:dyDescent="0.3">
      <c r="A751" s="14">
        <v>750</v>
      </c>
      <c r="B751" s="14" t="s">
        <v>1106</v>
      </c>
      <c r="C751" s="14">
        <v>21</v>
      </c>
      <c r="D751" s="14" t="str">
        <f>IFERROR(INDEX(Teams!$B$2:$B$49,MATCH($C751,Teams!$A$2:$A$49,0)),"")</f>
        <v>Morocco</v>
      </c>
      <c r="E751" s="14" t="s">
        <v>354</v>
      </c>
      <c r="F751" s="14">
        <v>22</v>
      </c>
    </row>
    <row r="752" spans="1:6" x14ac:dyDescent="0.3">
      <c r="A752" s="14">
        <v>751</v>
      </c>
      <c r="B752" s="14" t="s">
        <v>1107</v>
      </c>
      <c r="C752" s="14">
        <v>21</v>
      </c>
      <c r="D752" s="14" t="str">
        <f>IFERROR(INDEX(Teams!$B$2:$B$49,MATCH($C752,Teams!$A$2:$A$49,0)),"")</f>
        <v>Morocco</v>
      </c>
      <c r="E752" s="14" t="s">
        <v>361</v>
      </c>
      <c r="F752" s="14">
        <v>23</v>
      </c>
    </row>
    <row r="753" spans="1:6" x14ac:dyDescent="0.3">
      <c r="A753" s="14">
        <v>752</v>
      </c>
      <c r="B753" s="14" t="s">
        <v>1108</v>
      </c>
      <c r="C753" s="14">
        <v>21</v>
      </c>
      <c r="D753" s="14" t="str">
        <f>IFERROR(INDEX(Teams!$B$2:$B$49,MATCH($C753,Teams!$A$2:$A$49,0)),"")</f>
        <v>Morocco</v>
      </c>
      <c r="E753" s="14" t="s">
        <v>361</v>
      </c>
      <c r="F753" s="14">
        <v>24</v>
      </c>
    </row>
    <row r="754" spans="1:6" x14ac:dyDescent="0.3">
      <c r="A754" s="14">
        <v>753</v>
      </c>
      <c r="B754" s="14" t="s">
        <v>1109</v>
      </c>
      <c r="C754" s="14">
        <v>21</v>
      </c>
      <c r="D754" s="14" t="str">
        <f>IFERROR(INDEX(Teams!$B$2:$B$49,MATCH($C754,Teams!$A$2:$A$49,0)),"")</f>
        <v>Morocco</v>
      </c>
      <c r="E754" s="14" t="s">
        <v>356</v>
      </c>
      <c r="F754" s="14">
        <v>25</v>
      </c>
    </row>
    <row r="755" spans="1:6" x14ac:dyDescent="0.3">
      <c r="A755" s="14">
        <v>754</v>
      </c>
      <c r="B755" s="14" t="s">
        <v>1110</v>
      </c>
      <c r="C755" s="14">
        <v>21</v>
      </c>
      <c r="D755" s="14" t="str">
        <f>IFERROR(INDEX(Teams!$B$2:$B$49,MATCH($C755,Teams!$A$2:$A$49,0)),"")</f>
        <v>Morocco</v>
      </c>
      <c r="E755" s="14" t="s">
        <v>356</v>
      </c>
      <c r="F755" s="14">
        <v>26</v>
      </c>
    </row>
    <row r="756" spans="1:6" x14ac:dyDescent="0.3">
      <c r="A756" s="14">
        <v>755</v>
      </c>
      <c r="B756" s="14" t="s">
        <v>1111</v>
      </c>
      <c r="C756" s="14">
        <v>9</v>
      </c>
      <c r="D756" s="14" t="str">
        <f>IFERROR(INDEX(Teams!$B$2:$B$49,MATCH($C756,Teams!$A$2:$A$49,0)),"")</f>
        <v>Netherlands</v>
      </c>
      <c r="E756" s="14" t="s">
        <v>354</v>
      </c>
      <c r="F756" s="14">
        <v>1</v>
      </c>
    </row>
    <row r="757" spans="1:6" x14ac:dyDescent="0.3">
      <c r="A757" s="14">
        <v>756</v>
      </c>
      <c r="B757" s="14" t="s">
        <v>1112</v>
      </c>
      <c r="C757" s="14">
        <v>9</v>
      </c>
      <c r="D757" s="14" t="str">
        <f>IFERROR(INDEX(Teams!$B$2:$B$49,MATCH($C757,Teams!$A$2:$A$49,0)),"")</f>
        <v>Netherlands</v>
      </c>
      <c r="E757" s="14" t="s">
        <v>356</v>
      </c>
      <c r="F757" s="14">
        <v>2</v>
      </c>
    </row>
    <row r="758" spans="1:6" x14ac:dyDescent="0.3">
      <c r="A758" s="14">
        <v>757</v>
      </c>
      <c r="B758" s="14" t="s">
        <v>1113</v>
      </c>
      <c r="C758" s="14">
        <v>9</v>
      </c>
      <c r="D758" s="14" t="str">
        <f>IFERROR(INDEX(Teams!$B$2:$B$49,MATCH($C758,Teams!$A$2:$A$49,0)),"")</f>
        <v>Netherlands</v>
      </c>
      <c r="E758" s="14" t="s">
        <v>361</v>
      </c>
      <c r="F758" s="14">
        <v>3</v>
      </c>
    </row>
    <row r="759" spans="1:6" x14ac:dyDescent="0.3">
      <c r="A759" s="14">
        <v>758</v>
      </c>
      <c r="B759" s="14" t="s">
        <v>1114</v>
      </c>
      <c r="C759" s="14">
        <v>9</v>
      </c>
      <c r="D759" s="14" t="str">
        <f>IFERROR(INDEX(Teams!$B$2:$B$49,MATCH($C759,Teams!$A$2:$A$49,0)),"")</f>
        <v>Netherlands</v>
      </c>
      <c r="E759" s="14" t="s">
        <v>356</v>
      </c>
      <c r="F759" s="14">
        <v>4</v>
      </c>
    </row>
    <row r="760" spans="1:6" x14ac:dyDescent="0.3">
      <c r="A760" s="14">
        <v>759</v>
      </c>
      <c r="B760" s="14" t="s">
        <v>1115</v>
      </c>
      <c r="C760" s="14">
        <v>9</v>
      </c>
      <c r="D760" s="14" t="str">
        <f>IFERROR(INDEX(Teams!$B$2:$B$49,MATCH($C760,Teams!$A$2:$A$49,0)),"")</f>
        <v>Netherlands</v>
      </c>
      <c r="E760" s="14" t="s">
        <v>356</v>
      </c>
      <c r="F760" s="14">
        <v>5</v>
      </c>
    </row>
    <row r="761" spans="1:6" x14ac:dyDescent="0.3">
      <c r="A761" s="14">
        <v>760</v>
      </c>
      <c r="B761" s="14" t="s">
        <v>1116</v>
      </c>
      <c r="C761" s="14">
        <v>9</v>
      </c>
      <c r="D761" s="14" t="str">
        <f>IFERROR(INDEX(Teams!$B$2:$B$49,MATCH($C761,Teams!$A$2:$A$49,0)),"")</f>
        <v>Netherlands</v>
      </c>
      <c r="E761" s="14" t="s">
        <v>356</v>
      </c>
      <c r="F761" s="14">
        <v>6</v>
      </c>
    </row>
    <row r="762" spans="1:6" x14ac:dyDescent="0.3">
      <c r="A762" s="14">
        <v>761</v>
      </c>
      <c r="B762" s="14" t="s">
        <v>1117</v>
      </c>
      <c r="C762" s="14">
        <v>9</v>
      </c>
      <c r="D762" s="14" t="str">
        <f>IFERROR(INDEX(Teams!$B$2:$B$49,MATCH($C762,Teams!$A$2:$A$49,0)),"")</f>
        <v>Netherlands</v>
      </c>
      <c r="E762" s="14" t="s">
        <v>361</v>
      </c>
      <c r="F762" s="14">
        <v>7</v>
      </c>
    </row>
    <row r="763" spans="1:6" x14ac:dyDescent="0.3">
      <c r="A763" s="14">
        <v>762</v>
      </c>
      <c r="B763" s="14" t="s">
        <v>1118</v>
      </c>
      <c r="C763" s="14">
        <v>9</v>
      </c>
      <c r="D763" s="14" t="str">
        <f>IFERROR(INDEX(Teams!$B$2:$B$49,MATCH($C763,Teams!$A$2:$A$49,0)),"")</f>
        <v>Netherlands</v>
      </c>
      <c r="E763" s="14" t="s">
        <v>361</v>
      </c>
      <c r="F763" s="14">
        <v>8</v>
      </c>
    </row>
    <row r="764" spans="1:6" x14ac:dyDescent="0.3">
      <c r="A764" s="14">
        <v>763</v>
      </c>
      <c r="B764" s="14" t="s">
        <v>1119</v>
      </c>
      <c r="C764" s="14">
        <v>9</v>
      </c>
      <c r="D764" s="14" t="str">
        <f>IFERROR(INDEX(Teams!$B$2:$B$49,MATCH($C764,Teams!$A$2:$A$49,0)),"")</f>
        <v>Netherlands</v>
      </c>
      <c r="E764" s="14" t="s">
        <v>363</v>
      </c>
      <c r="F764" s="14">
        <v>9</v>
      </c>
    </row>
    <row r="765" spans="1:6" x14ac:dyDescent="0.3">
      <c r="A765" s="14">
        <v>764</v>
      </c>
      <c r="B765" s="14" t="s">
        <v>1120</v>
      </c>
      <c r="C765" s="14">
        <v>9</v>
      </c>
      <c r="D765" s="14" t="str">
        <f>IFERROR(INDEX(Teams!$B$2:$B$49,MATCH($C765,Teams!$A$2:$A$49,0)),"")</f>
        <v>Netherlands</v>
      </c>
      <c r="E765" s="14" t="s">
        <v>363</v>
      </c>
      <c r="F765" s="14">
        <v>10</v>
      </c>
    </row>
    <row r="766" spans="1:6" x14ac:dyDescent="0.3">
      <c r="A766" s="14">
        <v>765</v>
      </c>
      <c r="B766" s="14" t="s">
        <v>1121</v>
      </c>
      <c r="C766" s="14">
        <v>9</v>
      </c>
      <c r="D766" s="14" t="str">
        <f>IFERROR(INDEX(Teams!$B$2:$B$49,MATCH($C766,Teams!$A$2:$A$49,0)),"")</f>
        <v>Netherlands</v>
      </c>
      <c r="E766" s="14" t="s">
        <v>363</v>
      </c>
      <c r="F766" s="14">
        <v>11</v>
      </c>
    </row>
    <row r="767" spans="1:6" x14ac:dyDescent="0.3">
      <c r="A767" s="14">
        <v>766</v>
      </c>
      <c r="B767" s="14" t="s">
        <v>1122</v>
      </c>
      <c r="C767" s="14">
        <v>9</v>
      </c>
      <c r="D767" s="14" t="str">
        <f>IFERROR(INDEX(Teams!$B$2:$B$49,MATCH($C767,Teams!$A$2:$A$49,0)),"")</f>
        <v>Netherlands</v>
      </c>
      <c r="E767" s="14" t="s">
        <v>356</v>
      </c>
      <c r="F767" s="14">
        <v>12</v>
      </c>
    </row>
    <row r="768" spans="1:6" x14ac:dyDescent="0.3">
      <c r="A768" s="14">
        <v>767</v>
      </c>
      <c r="B768" s="14" t="s">
        <v>1123</v>
      </c>
      <c r="C768" s="14">
        <v>9</v>
      </c>
      <c r="D768" s="14" t="str">
        <f>IFERROR(INDEX(Teams!$B$2:$B$49,MATCH($C768,Teams!$A$2:$A$49,0)),"")</f>
        <v>Netherlands</v>
      </c>
      <c r="E768" s="14" t="s">
        <v>354</v>
      </c>
      <c r="F768" s="14">
        <v>13</v>
      </c>
    </row>
    <row r="769" spans="1:6" x14ac:dyDescent="0.3">
      <c r="A769" s="14">
        <v>768</v>
      </c>
      <c r="B769" s="14" t="s">
        <v>1124</v>
      </c>
      <c r="C769" s="14">
        <v>9</v>
      </c>
      <c r="D769" s="14" t="str">
        <f>IFERROR(INDEX(Teams!$B$2:$B$49,MATCH($C769,Teams!$A$2:$A$49,0)),"")</f>
        <v>Netherlands</v>
      </c>
      <c r="E769" s="14" t="s">
        <v>361</v>
      </c>
      <c r="F769" s="14">
        <v>14</v>
      </c>
    </row>
    <row r="770" spans="1:6" x14ac:dyDescent="0.3">
      <c r="A770" s="14">
        <v>769</v>
      </c>
      <c r="B770" s="14" t="s">
        <v>1125</v>
      </c>
      <c r="C770" s="14">
        <v>9</v>
      </c>
      <c r="D770" s="14" t="str">
        <f>IFERROR(INDEX(Teams!$B$2:$B$49,MATCH($C770,Teams!$A$2:$A$49,0)),"")</f>
        <v>Netherlands</v>
      </c>
      <c r="E770" s="14" t="s">
        <v>356</v>
      </c>
      <c r="F770" s="14">
        <v>15</v>
      </c>
    </row>
    <row r="771" spans="1:6" x14ac:dyDescent="0.3">
      <c r="A771" s="14">
        <v>770</v>
      </c>
      <c r="B771" s="14" t="s">
        <v>1126</v>
      </c>
      <c r="C771" s="14">
        <v>9</v>
      </c>
      <c r="D771" s="14" t="str">
        <f>IFERROR(INDEX(Teams!$B$2:$B$49,MATCH($C771,Teams!$A$2:$A$49,0)),"")</f>
        <v>Netherlands</v>
      </c>
      <c r="E771" s="14" t="s">
        <v>361</v>
      </c>
      <c r="F771" s="14">
        <v>16</v>
      </c>
    </row>
    <row r="772" spans="1:6" x14ac:dyDescent="0.3">
      <c r="A772" s="14">
        <v>771</v>
      </c>
      <c r="B772" s="14" t="s">
        <v>1127</v>
      </c>
      <c r="C772" s="14">
        <v>9</v>
      </c>
      <c r="D772" s="14" t="str">
        <f>IFERROR(INDEX(Teams!$B$2:$B$49,MATCH($C772,Teams!$A$2:$A$49,0)),"")</f>
        <v>Netherlands</v>
      </c>
      <c r="E772" s="14" t="s">
        <v>363</v>
      </c>
      <c r="F772" s="14">
        <v>17</v>
      </c>
    </row>
    <row r="773" spans="1:6" x14ac:dyDescent="0.3">
      <c r="A773" s="14">
        <v>772</v>
      </c>
      <c r="B773" s="14" t="s">
        <v>1128</v>
      </c>
      <c r="C773" s="14">
        <v>9</v>
      </c>
      <c r="D773" s="14" t="str">
        <f>IFERROR(INDEX(Teams!$B$2:$B$49,MATCH($C773,Teams!$A$2:$A$49,0)),"")</f>
        <v>Netherlands</v>
      </c>
      <c r="E773" s="14" t="s">
        <v>363</v>
      </c>
      <c r="F773" s="14">
        <v>18</v>
      </c>
    </row>
    <row r="774" spans="1:6" x14ac:dyDescent="0.3">
      <c r="A774" s="14">
        <v>773</v>
      </c>
      <c r="B774" s="14" t="s">
        <v>1129</v>
      </c>
      <c r="C774" s="14">
        <v>9</v>
      </c>
      <c r="D774" s="14" t="str">
        <f>IFERROR(INDEX(Teams!$B$2:$B$49,MATCH($C774,Teams!$A$2:$A$49,0)),"")</f>
        <v>Netherlands</v>
      </c>
      <c r="E774" s="14" t="s">
        <v>363</v>
      </c>
      <c r="F774" s="14">
        <v>19</v>
      </c>
    </row>
    <row r="775" spans="1:6" x14ac:dyDescent="0.3">
      <c r="A775" s="14">
        <v>774</v>
      </c>
      <c r="B775" s="14" t="s">
        <v>1130</v>
      </c>
      <c r="C775" s="14">
        <v>9</v>
      </c>
      <c r="D775" s="14" t="str">
        <f>IFERROR(INDEX(Teams!$B$2:$B$49,MATCH($C775,Teams!$A$2:$A$49,0)),"")</f>
        <v>Netherlands</v>
      </c>
      <c r="E775" s="14" t="s">
        <v>361</v>
      </c>
      <c r="F775" s="14">
        <v>20</v>
      </c>
    </row>
    <row r="776" spans="1:6" x14ac:dyDescent="0.3">
      <c r="A776" s="14">
        <v>775</v>
      </c>
      <c r="B776" s="14" t="s">
        <v>1131</v>
      </c>
      <c r="C776" s="14">
        <v>9</v>
      </c>
      <c r="D776" s="14" t="str">
        <f>IFERROR(INDEX(Teams!$B$2:$B$49,MATCH($C776,Teams!$A$2:$A$49,0)),"")</f>
        <v>Netherlands</v>
      </c>
      <c r="E776" s="14" t="s">
        <v>361</v>
      </c>
      <c r="F776" s="14">
        <v>21</v>
      </c>
    </row>
    <row r="777" spans="1:6" x14ac:dyDescent="0.3">
      <c r="A777" s="14">
        <v>776</v>
      </c>
      <c r="B777" s="14" t="s">
        <v>1132</v>
      </c>
      <c r="C777" s="14">
        <v>9</v>
      </c>
      <c r="D777" s="14" t="str">
        <f>IFERROR(INDEX(Teams!$B$2:$B$49,MATCH($C777,Teams!$A$2:$A$49,0)),"")</f>
        <v>Netherlands</v>
      </c>
      <c r="E777" s="14" t="s">
        <v>356</v>
      </c>
      <c r="F777" s="14">
        <v>22</v>
      </c>
    </row>
    <row r="778" spans="1:6" x14ac:dyDescent="0.3">
      <c r="A778" s="14">
        <v>777</v>
      </c>
      <c r="B778" s="14" t="s">
        <v>1133</v>
      </c>
      <c r="C778" s="14">
        <v>9</v>
      </c>
      <c r="D778" s="14" t="str">
        <f>IFERROR(INDEX(Teams!$B$2:$B$49,MATCH($C778,Teams!$A$2:$A$49,0)),"")</f>
        <v>Netherlands</v>
      </c>
      <c r="E778" s="14" t="s">
        <v>354</v>
      </c>
      <c r="F778" s="14">
        <v>23</v>
      </c>
    </row>
    <row r="779" spans="1:6" x14ac:dyDescent="0.3">
      <c r="A779" s="14">
        <v>778</v>
      </c>
      <c r="B779" s="14" t="s">
        <v>1134</v>
      </c>
      <c r="C779" s="14">
        <v>9</v>
      </c>
      <c r="D779" s="14" t="str">
        <f>IFERROR(INDEX(Teams!$B$2:$B$49,MATCH($C779,Teams!$A$2:$A$49,0)),"")</f>
        <v>Netherlands</v>
      </c>
      <c r="E779" s="14" t="s">
        <v>363</v>
      </c>
      <c r="F779" s="14">
        <v>24</v>
      </c>
    </row>
    <row r="780" spans="1:6" x14ac:dyDescent="0.3">
      <c r="A780" s="14">
        <v>779</v>
      </c>
      <c r="B780" s="14" t="s">
        <v>1135</v>
      </c>
      <c r="C780" s="14">
        <v>9</v>
      </c>
      <c r="D780" s="14" t="str">
        <f>IFERROR(INDEX(Teams!$B$2:$B$49,MATCH($C780,Teams!$A$2:$A$49,0)),"")</f>
        <v>Netherlands</v>
      </c>
      <c r="E780" s="14" t="s">
        <v>356</v>
      </c>
      <c r="F780" s="14">
        <v>25</v>
      </c>
    </row>
    <row r="781" spans="1:6" x14ac:dyDescent="0.3">
      <c r="A781" s="14">
        <v>780</v>
      </c>
      <c r="B781" s="14" t="s">
        <v>1136</v>
      </c>
      <c r="C781" s="14">
        <v>9</v>
      </c>
      <c r="D781" s="14" t="str">
        <f>IFERROR(INDEX(Teams!$B$2:$B$49,MATCH($C781,Teams!$A$2:$A$49,0)),"")</f>
        <v>Netherlands</v>
      </c>
      <c r="E781" s="14" t="s">
        <v>361</v>
      </c>
      <c r="F781" s="14">
        <v>26</v>
      </c>
    </row>
    <row r="782" spans="1:6" x14ac:dyDescent="0.3">
      <c r="A782" s="14">
        <v>781</v>
      </c>
      <c r="B782" s="14" t="s">
        <v>1137</v>
      </c>
      <c r="C782" s="14">
        <v>42</v>
      </c>
      <c r="D782" s="14" t="str">
        <f>IFERROR(INDEX(Teams!$B$2:$B$49,MATCH($C782,Teams!$A$2:$A$49,0)),"")</f>
        <v>New Zealand</v>
      </c>
      <c r="E782" s="14" t="s">
        <v>354</v>
      </c>
      <c r="F782" s="14">
        <v>1</v>
      </c>
    </row>
    <row r="783" spans="1:6" x14ac:dyDescent="0.3">
      <c r="A783" s="14">
        <v>782</v>
      </c>
      <c r="B783" s="14" t="s">
        <v>1138</v>
      </c>
      <c r="C783" s="14">
        <v>42</v>
      </c>
      <c r="D783" s="14" t="str">
        <f>IFERROR(INDEX(Teams!$B$2:$B$49,MATCH($C783,Teams!$A$2:$A$49,0)),"")</f>
        <v>New Zealand</v>
      </c>
      <c r="E783" s="14" t="s">
        <v>356</v>
      </c>
      <c r="F783" s="14">
        <v>2</v>
      </c>
    </row>
    <row r="784" spans="1:6" x14ac:dyDescent="0.3">
      <c r="A784" s="14">
        <v>783</v>
      </c>
      <c r="B784" s="14" t="s">
        <v>1139</v>
      </c>
      <c r="C784" s="14">
        <v>42</v>
      </c>
      <c r="D784" s="14" t="str">
        <f>IFERROR(INDEX(Teams!$B$2:$B$49,MATCH($C784,Teams!$A$2:$A$49,0)),"")</f>
        <v>New Zealand</v>
      </c>
      <c r="E784" s="14" t="s">
        <v>356</v>
      </c>
      <c r="F784" s="14">
        <v>3</v>
      </c>
    </row>
    <row r="785" spans="1:6" x14ac:dyDescent="0.3">
      <c r="A785" s="14">
        <v>784</v>
      </c>
      <c r="B785" s="14" t="s">
        <v>1140</v>
      </c>
      <c r="C785" s="14">
        <v>42</v>
      </c>
      <c r="D785" s="14" t="str">
        <f>IFERROR(INDEX(Teams!$B$2:$B$49,MATCH($C785,Teams!$A$2:$A$49,0)),"")</f>
        <v>New Zealand</v>
      </c>
      <c r="E785" s="14" t="s">
        <v>356</v>
      </c>
      <c r="F785" s="14">
        <v>4</v>
      </c>
    </row>
    <row r="786" spans="1:6" x14ac:dyDescent="0.3">
      <c r="A786" s="14">
        <v>785</v>
      </c>
      <c r="B786" s="14" t="s">
        <v>1141</v>
      </c>
      <c r="C786" s="14">
        <v>42</v>
      </c>
      <c r="D786" s="14" t="str">
        <f>IFERROR(INDEX(Teams!$B$2:$B$49,MATCH($C786,Teams!$A$2:$A$49,0)),"")</f>
        <v>New Zealand</v>
      </c>
      <c r="E786" s="14" t="s">
        <v>356</v>
      </c>
      <c r="F786" s="14">
        <v>5</v>
      </c>
    </row>
    <row r="787" spans="1:6" x14ac:dyDescent="0.3">
      <c r="A787" s="14">
        <v>786</v>
      </c>
      <c r="B787" s="14" t="s">
        <v>1142</v>
      </c>
      <c r="C787" s="14">
        <v>42</v>
      </c>
      <c r="D787" s="14" t="str">
        <f>IFERROR(INDEX(Teams!$B$2:$B$49,MATCH($C787,Teams!$A$2:$A$49,0)),"")</f>
        <v>New Zealand</v>
      </c>
      <c r="E787" s="14" t="s">
        <v>361</v>
      </c>
      <c r="F787" s="14">
        <v>6</v>
      </c>
    </row>
    <row r="788" spans="1:6" x14ac:dyDescent="0.3">
      <c r="A788" s="14">
        <v>787</v>
      </c>
      <c r="B788" s="14" t="s">
        <v>1143</v>
      </c>
      <c r="C788" s="14">
        <v>42</v>
      </c>
      <c r="D788" s="14" t="str">
        <f>IFERROR(INDEX(Teams!$B$2:$B$49,MATCH($C788,Teams!$A$2:$A$49,0)),"")</f>
        <v>New Zealand</v>
      </c>
      <c r="E788" s="14" t="s">
        <v>363</v>
      </c>
      <c r="F788" s="14">
        <v>7</v>
      </c>
    </row>
    <row r="789" spans="1:6" x14ac:dyDescent="0.3">
      <c r="A789" s="14">
        <v>788</v>
      </c>
      <c r="B789" s="14" t="s">
        <v>1144</v>
      </c>
      <c r="C789" s="14">
        <v>42</v>
      </c>
      <c r="D789" s="14" t="str">
        <f>IFERROR(INDEX(Teams!$B$2:$B$49,MATCH($C789,Teams!$A$2:$A$49,0)),"")</f>
        <v>New Zealand</v>
      </c>
      <c r="E789" s="14" t="s">
        <v>361</v>
      </c>
      <c r="F789" s="14">
        <v>8</v>
      </c>
    </row>
    <row r="790" spans="1:6" x14ac:dyDescent="0.3">
      <c r="A790" s="14">
        <v>789</v>
      </c>
      <c r="B790" s="14" t="s">
        <v>1145</v>
      </c>
      <c r="C790" s="14">
        <v>42</v>
      </c>
      <c r="D790" s="14" t="str">
        <f>IFERROR(INDEX(Teams!$B$2:$B$49,MATCH($C790,Teams!$A$2:$A$49,0)),"")</f>
        <v>New Zealand</v>
      </c>
      <c r="E790" s="14" t="s">
        <v>363</v>
      </c>
      <c r="F790" s="14">
        <v>9</v>
      </c>
    </row>
    <row r="791" spans="1:6" x14ac:dyDescent="0.3">
      <c r="A791" s="14">
        <v>790</v>
      </c>
      <c r="B791" s="14" t="s">
        <v>1146</v>
      </c>
      <c r="C791" s="14">
        <v>42</v>
      </c>
      <c r="D791" s="14" t="str">
        <f>IFERROR(INDEX(Teams!$B$2:$B$49,MATCH($C791,Teams!$A$2:$A$49,0)),"")</f>
        <v>New Zealand</v>
      </c>
      <c r="E791" s="14" t="s">
        <v>361</v>
      </c>
      <c r="F791" s="14">
        <v>10</v>
      </c>
    </row>
    <row r="792" spans="1:6" x14ac:dyDescent="0.3">
      <c r="A792" s="14">
        <v>791</v>
      </c>
      <c r="B792" s="14" t="s">
        <v>1147</v>
      </c>
      <c r="C792" s="14">
        <v>42</v>
      </c>
      <c r="D792" s="14" t="str">
        <f>IFERROR(INDEX(Teams!$B$2:$B$49,MATCH($C792,Teams!$A$2:$A$49,0)),"")</f>
        <v>New Zealand</v>
      </c>
      <c r="E792" s="14" t="s">
        <v>361</v>
      </c>
      <c r="F792" s="14">
        <v>11</v>
      </c>
    </row>
    <row r="793" spans="1:6" x14ac:dyDescent="0.3">
      <c r="A793" s="14">
        <v>792</v>
      </c>
      <c r="B793" s="14" t="s">
        <v>1148</v>
      </c>
      <c r="C793" s="14">
        <v>42</v>
      </c>
      <c r="D793" s="14" t="str">
        <f>IFERROR(INDEX(Teams!$B$2:$B$49,MATCH($C793,Teams!$A$2:$A$49,0)),"")</f>
        <v>New Zealand</v>
      </c>
      <c r="E793" s="14" t="s">
        <v>354</v>
      </c>
      <c r="F793" s="14">
        <v>12</v>
      </c>
    </row>
    <row r="794" spans="1:6" x14ac:dyDescent="0.3">
      <c r="A794" s="14">
        <v>793</v>
      </c>
      <c r="B794" s="14" t="s">
        <v>1149</v>
      </c>
      <c r="C794" s="14">
        <v>42</v>
      </c>
      <c r="D794" s="14" t="str">
        <f>IFERROR(INDEX(Teams!$B$2:$B$49,MATCH($C794,Teams!$A$2:$A$49,0)),"")</f>
        <v>New Zealand</v>
      </c>
      <c r="E794" s="14" t="s">
        <v>356</v>
      </c>
      <c r="F794" s="14">
        <v>13</v>
      </c>
    </row>
    <row r="795" spans="1:6" x14ac:dyDescent="0.3">
      <c r="A795" s="14">
        <v>794</v>
      </c>
      <c r="B795" s="14" t="s">
        <v>1150</v>
      </c>
      <c r="C795" s="14">
        <v>42</v>
      </c>
      <c r="D795" s="14" t="str">
        <f>IFERROR(INDEX(Teams!$B$2:$B$49,MATCH($C795,Teams!$A$2:$A$49,0)),"")</f>
        <v>New Zealand</v>
      </c>
      <c r="E795" s="14" t="s">
        <v>361</v>
      </c>
      <c r="F795" s="14">
        <v>14</v>
      </c>
    </row>
    <row r="796" spans="1:6" x14ac:dyDescent="0.3">
      <c r="A796" s="14">
        <v>795</v>
      </c>
      <c r="B796" s="14" t="s">
        <v>1151</v>
      </c>
      <c r="C796" s="14">
        <v>42</v>
      </c>
      <c r="D796" s="14" t="str">
        <f>IFERROR(INDEX(Teams!$B$2:$B$49,MATCH($C796,Teams!$A$2:$A$49,0)),"")</f>
        <v>New Zealand</v>
      </c>
      <c r="E796" s="14" t="s">
        <v>356</v>
      </c>
      <c r="F796" s="14">
        <v>15</v>
      </c>
    </row>
    <row r="797" spans="1:6" x14ac:dyDescent="0.3">
      <c r="A797" s="14">
        <v>796</v>
      </c>
      <c r="B797" s="14" t="s">
        <v>1152</v>
      </c>
      <c r="C797" s="14">
        <v>42</v>
      </c>
      <c r="D797" s="14" t="str">
        <f>IFERROR(INDEX(Teams!$B$2:$B$49,MATCH($C797,Teams!$A$2:$A$49,0)),"")</f>
        <v>New Zealand</v>
      </c>
      <c r="E797" s="14" t="s">
        <v>356</v>
      </c>
      <c r="F797" s="14">
        <v>16</v>
      </c>
    </row>
    <row r="798" spans="1:6" x14ac:dyDescent="0.3">
      <c r="A798" s="14">
        <v>797</v>
      </c>
      <c r="B798" s="14" t="s">
        <v>1153</v>
      </c>
      <c r="C798" s="14">
        <v>42</v>
      </c>
      <c r="D798" s="14" t="str">
        <f>IFERROR(INDEX(Teams!$B$2:$B$49,MATCH($C798,Teams!$A$2:$A$49,0)),"")</f>
        <v>New Zealand</v>
      </c>
      <c r="E798" s="14" t="s">
        <v>363</v>
      </c>
      <c r="F798" s="14">
        <v>17</v>
      </c>
    </row>
    <row r="799" spans="1:6" x14ac:dyDescent="0.3">
      <c r="A799" s="14">
        <v>798</v>
      </c>
      <c r="B799" s="14" t="s">
        <v>1154</v>
      </c>
      <c r="C799" s="14">
        <v>42</v>
      </c>
      <c r="D799" s="14" t="str">
        <f>IFERROR(INDEX(Teams!$B$2:$B$49,MATCH($C799,Teams!$A$2:$A$49,0)),"")</f>
        <v>New Zealand</v>
      </c>
      <c r="E799" s="14" t="s">
        <v>363</v>
      </c>
      <c r="F799" s="14">
        <v>18</v>
      </c>
    </row>
    <row r="800" spans="1:6" x14ac:dyDescent="0.3">
      <c r="A800" s="14">
        <v>799</v>
      </c>
      <c r="B800" s="14" t="s">
        <v>1155</v>
      </c>
      <c r="C800" s="14">
        <v>42</v>
      </c>
      <c r="D800" s="14" t="str">
        <f>IFERROR(INDEX(Teams!$B$2:$B$49,MATCH($C800,Teams!$A$2:$A$49,0)),"")</f>
        <v>New Zealand</v>
      </c>
      <c r="E800" s="14" t="s">
        <v>361</v>
      </c>
      <c r="F800" s="14">
        <v>19</v>
      </c>
    </row>
    <row r="801" spans="1:6" x14ac:dyDescent="0.3">
      <c r="A801" s="14">
        <v>800</v>
      </c>
      <c r="B801" s="14" t="s">
        <v>1156</v>
      </c>
      <c r="C801" s="14">
        <v>42</v>
      </c>
      <c r="D801" s="14" t="str">
        <f>IFERROR(INDEX(Teams!$B$2:$B$49,MATCH($C801,Teams!$A$2:$A$49,0)),"")</f>
        <v>New Zealand</v>
      </c>
      <c r="E801" s="14" t="s">
        <v>361</v>
      </c>
      <c r="F801" s="14">
        <v>20</v>
      </c>
    </row>
    <row r="802" spans="1:6" x14ac:dyDescent="0.3">
      <c r="A802" s="14">
        <v>801</v>
      </c>
      <c r="B802" s="14" t="s">
        <v>1157</v>
      </c>
      <c r="C802" s="14">
        <v>42</v>
      </c>
      <c r="D802" s="14" t="str">
        <f>IFERROR(INDEX(Teams!$B$2:$B$49,MATCH($C802,Teams!$A$2:$A$49,0)),"")</f>
        <v>New Zealand</v>
      </c>
      <c r="E802" s="14" t="s">
        <v>363</v>
      </c>
      <c r="F802" s="14">
        <v>21</v>
      </c>
    </row>
    <row r="803" spans="1:6" x14ac:dyDescent="0.3">
      <c r="A803" s="14">
        <v>802</v>
      </c>
      <c r="B803" s="14" t="s">
        <v>1158</v>
      </c>
      <c r="C803" s="14">
        <v>42</v>
      </c>
      <c r="D803" s="14" t="str">
        <f>IFERROR(INDEX(Teams!$B$2:$B$49,MATCH($C803,Teams!$A$2:$A$49,0)),"")</f>
        <v>New Zealand</v>
      </c>
      <c r="E803" s="14" t="s">
        <v>354</v>
      </c>
      <c r="F803" s="14">
        <v>22</v>
      </c>
    </row>
    <row r="804" spans="1:6" x14ac:dyDescent="0.3">
      <c r="A804" s="14">
        <v>803</v>
      </c>
      <c r="B804" s="14" t="s">
        <v>1159</v>
      </c>
      <c r="C804" s="14">
        <v>42</v>
      </c>
      <c r="D804" s="14" t="str">
        <f>IFERROR(INDEX(Teams!$B$2:$B$49,MATCH($C804,Teams!$A$2:$A$49,0)),"")</f>
        <v>New Zealand</v>
      </c>
      <c r="E804" s="14" t="s">
        <v>361</v>
      </c>
      <c r="F804" s="14">
        <v>23</v>
      </c>
    </row>
    <row r="805" spans="1:6" x14ac:dyDescent="0.3">
      <c r="A805" s="14">
        <v>804</v>
      </c>
      <c r="B805" s="14" t="s">
        <v>1160</v>
      </c>
      <c r="C805" s="14">
        <v>42</v>
      </c>
      <c r="D805" s="14" t="str">
        <f>IFERROR(INDEX(Teams!$B$2:$B$49,MATCH($C805,Teams!$A$2:$A$49,0)),"")</f>
        <v>New Zealand</v>
      </c>
      <c r="E805" s="14" t="s">
        <v>356</v>
      </c>
      <c r="F805" s="14">
        <v>24</v>
      </c>
    </row>
    <row r="806" spans="1:6" x14ac:dyDescent="0.3">
      <c r="A806" s="14">
        <v>805</v>
      </c>
      <c r="B806" s="14" t="s">
        <v>1161</v>
      </c>
      <c r="C806" s="14">
        <v>42</v>
      </c>
      <c r="D806" s="14" t="str">
        <f>IFERROR(INDEX(Teams!$B$2:$B$49,MATCH($C806,Teams!$A$2:$A$49,0)),"")</f>
        <v>New Zealand</v>
      </c>
      <c r="E806" s="14" t="s">
        <v>361</v>
      </c>
      <c r="F806" s="14">
        <v>25</v>
      </c>
    </row>
    <row r="807" spans="1:6" x14ac:dyDescent="0.3">
      <c r="A807" s="14">
        <v>806</v>
      </c>
      <c r="B807" s="14" t="s">
        <v>1162</v>
      </c>
      <c r="C807" s="14">
        <v>42</v>
      </c>
      <c r="D807" s="14" t="str">
        <f>IFERROR(INDEX(Teams!$B$2:$B$49,MATCH($C807,Teams!$A$2:$A$49,0)),"")</f>
        <v>New Zealand</v>
      </c>
      <c r="E807" s="14" t="s">
        <v>356</v>
      </c>
      <c r="F807" s="14">
        <v>26</v>
      </c>
    </row>
    <row r="808" spans="1:6" x14ac:dyDescent="0.3">
      <c r="A808" s="14">
        <v>807</v>
      </c>
      <c r="B808" s="14" t="s">
        <v>1163</v>
      </c>
      <c r="C808" s="14">
        <v>22</v>
      </c>
      <c r="D808" s="14" t="str">
        <f>IFERROR(INDEX(Teams!$B$2:$B$49,MATCH($C808,Teams!$A$2:$A$49,0)),"")</f>
        <v>Norway</v>
      </c>
      <c r="E808" s="14" t="s">
        <v>354</v>
      </c>
      <c r="F808" s="14">
        <v>1</v>
      </c>
    </row>
    <row r="809" spans="1:6" x14ac:dyDescent="0.3">
      <c r="A809" s="14">
        <v>808</v>
      </c>
      <c r="B809" s="14" t="s">
        <v>1164</v>
      </c>
      <c r="C809" s="14">
        <v>22</v>
      </c>
      <c r="D809" s="14" t="str">
        <f>IFERROR(INDEX(Teams!$B$2:$B$49,MATCH($C809,Teams!$A$2:$A$49,0)),"")</f>
        <v>Norway</v>
      </c>
      <c r="E809" s="14" t="s">
        <v>361</v>
      </c>
      <c r="F809" s="14">
        <v>2</v>
      </c>
    </row>
    <row r="810" spans="1:6" x14ac:dyDescent="0.3">
      <c r="A810" s="14">
        <v>809</v>
      </c>
      <c r="B810" s="14" t="s">
        <v>1165</v>
      </c>
      <c r="C810" s="14">
        <v>22</v>
      </c>
      <c r="D810" s="14" t="str">
        <f>IFERROR(INDEX(Teams!$B$2:$B$49,MATCH($C810,Teams!$A$2:$A$49,0)),"")</f>
        <v>Norway</v>
      </c>
      <c r="E810" s="14" t="s">
        <v>356</v>
      </c>
      <c r="F810" s="14">
        <v>3</v>
      </c>
    </row>
    <row r="811" spans="1:6" x14ac:dyDescent="0.3">
      <c r="A811" s="14">
        <v>810</v>
      </c>
      <c r="B811" s="14" t="s">
        <v>1166</v>
      </c>
      <c r="C811" s="14">
        <v>22</v>
      </c>
      <c r="D811" s="14" t="str">
        <f>IFERROR(INDEX(Teams!$B$2:$B$49,MATCH($C811,Teams!$A$2:$A$49,0)),"")</f>
        <v>Norway</v>
      </c>
      <c r="E811" s="14" t="s">
        <v>356</v>
      </c>
      <c r="F811" s="14">
        <v>4</v>
      </c>
    </row>
    <row r="812" spans="1:6" x14ac:dyDescent="0.3">
      <c r="A812" s="14">
        <v>811</v>
      </c>
      <c r="B812" s="14" t="s">
        <v>1167</v>
      </c>
      <c r="C812" s="14">
        <v>22</v>
      </c>
      <c r="D812" s="14" t="str">
        <f>IFERROR(INDEX(Teams!$B$2:$B$49,MATCH($C812,Teams!$A$2:$A$49,0)),"")</f>
        <v>Norway</v>
      </c>
      <c r="E812" s="14" t="s">
        <v>356</v>
      </c>
      <c r="F812" s="14">
        <v>5</v>
      </c>
    </row>
    <row r="813" spans="1:6" x14ac:dyDescent="0.3">
      <c r="A813" s="14">
        <v>812</v>
      </c>
      <c r="B813" s="14" t="s">
        <v>1168</v>
      </c>
      <c r="C813" s="14">
        <v>22</v>
      </c>
      <c r="D813" s="14" t="str">
        <f>IFERROR(INDEX(Teams!$B$2:$B$49,MATCH($C813,Teams!$A$2:$A$49,0)),"")</f>
        <v>Norway</v>
      </c>
      <c r="E813" s="14" t="s">
        <v>361</v>
      </c>
      <c r="F813" s="14">
        <v>6</v>
      </c>
    </row>
    <row r="814" spans="1:6" x14ac:dyDescent="0.3">
      <c r="A814" s="14">
        <v>813</v>
      </c>
      <c r="B814" s="14" t="s">
        <v>1169</v>
      </c>
      <c r="C814" s="14">
        <v>22</v>
      </c>
      <c r="D814" s="14" t="str">
        <f>IFERROR(INDEX(Teams!$B$2:$B$49,MATCH($C814,Teams!$A$2:$A$49,0)),"")</f>
        <v>Norway</v>
      </c>
      <c r="E814" s="14" t="s">
        <v>363</v>
      </c>
      <c r="F814" s="14">
        <v>7</v>
      </c>
    </row>
    <row r="815" spans="1:6" x14ac:dyDescent="0.3">
      <c r="A815" s="14">
        <v>814</v>
      </c>
      <c r="B815" s="14" t="s">
        <v>1170</v>
      </c>
      <c r="C815" s="14">
        <v>22</v>
      </c>
      <c r="D815" s="14" t="str">
        <f>IFERROR(INDEX(Teams!$B$2:$B$49,MATCH($C815,Teams!$A$2:$A$49,0)),"")</f>
        <v>Norway</v>
      </c>
      <c r="E815" s="14" t="s">
        <v>361</v>
      </c>
      <c r="F815" s="14">
        <v>8</v>
      </c>
    </row>
    <row r="816" spans="1:6" x14ac:dyDescent="0.3">
      <c r="A816" s="14">
        <v>815</v>
      </c>
      <c r="B816" s="14" t="s">
        <v>1171</v>
      </c>
      <c r="C816" s="14">
        <v>22</v>
      </c>
      <c r="D816" s="14" t="str">
        <f>IFERROR(INDEX(Teams!$B$2:$B$49,MATCH($C816,Teams!$A$2:$A$49,0)),"")</f>
        <v>Norway</v>
      </c>
      <c r="E816" s="14" t="s">
        <v>363</v>
      </c>
      <c r="F816" s="14">
        <v>9</v>
      </c>
    </row>
    <row r="817" spans="1:6" x14ac:dyDescent="0.3">
      <c r="A817" s="14">
        <v>816</v>
      </c>
      <c r="B817" s="14" t="s">
        <v>1172</v>
      </c>
      <c r="C817" s="14">
        <v>22</v>
      </c>
      <c r="D817" s="14" t="str">
        <f>IFERROR(INDEX(Teams!$B$2:$B$49,MATCH($C817,Teams!$A$2:$A$49,0)),"")</f>
        <v>Norway</v>
      </c>
      <c r="E817" s="14" t="s">
        <v>361</v>
      </c>
      <c r="F817" s="14">
        <v>10</v>
      </c>
    </row>
    <row r="818" spans="1:6" x14ac:dyDescent="0.3">
      <c r="A818" s="14">
        <v>817</v>
      </c>
      <c r="B818" s="14" t="s">
        <v>1173</v>
      </c>
      <c r="C818" s="14">
        <v>22</v>
      </c>
      <c r="D818" s="14" t="str">
        <f>IFERROR(INDEX(Teams!$B$2:$B$49,MATCH($C818,Teams!$A$2:$A$49,0)),"")</f>
        <v>Norway</v>
      </c>
      <c r="E818" s="14" t="s">
        <v>363</v>
      </c>
      <c r="F818" s="14">
        <v>11</v>
      </c>
    </row>
    <row r="819" spans="1:6" x14ac:dyDescent="0.3">
      <c r="A819" s="14">
        <v>818</v>
      </c>
      <c r="B819" s="14" t="s">
        <v>1174</v>
      </c>
      <c r="C819" s="14">
        <v>22</v>
      </c>
      <c r="D819" s="14" t="str">
        <f>IFERROR(INDEX(Teams!$B$2:$B$49,MATCH($C819,Teams!$A$2:$A$49,0)),"")</f>
        <v>Norway</v>
      </c>
      <c r="E819" s="14" t="s">
        <v>354</v>
      </c>
      <c r="F819" s="14">
        <v>12</v>
      </c>
    </row>
    <row r="820" spans="1:6" x14ac:dyDescent="0.3">
      <c r="A820" s="14">
        <v>819</v>
      </c>
      <c r="B820" s="14" t="s">
        <v>1175</v>
      </c>
      <c r="C820" s="14">
        <v>22</v>
      </c>
      <c r="D820" s="14" t="str">
        <f>IFERROR(INDEX(Teams!$B$2:$B$49,MATCH($C820,Teams!$A$2:$A$49,0)),"")</f>
        <v>Norway</v>
      </c>
      <c r="E820" s="14" t="s">
        <v>354</v>
      </c>
      <c r="F820" s="14">
        <v>13</v>
      </c>
    </row>
    <row r="821" spans="1:6" x14ac:dyDescent="0.3">
      <c r="A821" s="14">
        <v>820</v>
      </c>
      <c r="B821" s="14" t="s">
        <v>1176</v>
      </c>
      <c r="C821" s="14">
        <v>22</v>
      </c>
      <c r="D821" s="14" t="str">
        <f>IFERROR(INDEX(Teams!$B$2:$B$49,MATCH($C821,Teams!$A$2:$A$49,0)),"")</f>
        <v>Norway</v>
      </c>
      <c r="E821" s="14" t="s">
        <v>361</v>
      </c>
      <c r="F821" s="14">
        <v>14</v>
      </c>
    </row>
    <row r="822" spans="1:6" x14ac:dyDescent="0.3">
      <c r="A822" s="14">
        <v>821</v>
      </c>
      <c r="B822" s="14" t="s">
        <v>1177</v>
      </c>
      <c r="C822" s="14">
        <v>22</v>
      </c>
      <c r="D822" s="14" t="str">
        <f>IFERROR(INDEX(Teams!$B$2:$B$49,MATCH($C822,Teams!$A$2:$A$49,0)),"")</f>
        <v>Norway</v>
      </c>
      <c r="E822" s="14" t="s">
        <v>356</v>
      </c>
      <c r="F822" s="14">
        <v>15</v>
      </c>
    </row>
    <row r="823" spans="1:6" x14ac:dyDescent="0.3">
      <c r="A823" s="14">
        <v>822</v>
      </c>
      <c r="B823" s="14" t="s">
        <v>1178</v>
      </c>
      <c r="C823" s="14">
        <v>22</v>
      </c>
      <c r="D823" s="14" t="str">
        <f>IFERROR(INDEX(Teams!$B$2:$B$49,MATCH($C823,Teams!$A$2:$A$49,0)),"")</f>
        <v>Norway</v>
      </c>
      <c r="E823" s="14" t="s">
        <v>356</v>
      </c>
      <c r="F823" s="14">
        <v>16</v>
      </c>
    </row>
    <row r="824" spans="1:6" x14ac:dyDescent="0.3">
      <c r="A824" s="14">
        <v>823</v>
      </c>
      <c r="B824" s="14" t="s">
        <v>1179</v>
      </c>
      <c r="C824" s="14">
        <v>22</v>
      </c>
      <c r="D824" s="14" t="str">
        <f>IFERROR(INDEX(Teams!$B$2:$B$49,MATCH($C824,Teams!$A$2:$A$49,0)),"")</f>
        <v>Norway</v>
      </c>
      <c r="E824" s="14" t="s">
        <v>356</v>
      </c>
      <c r="F824" s="14">
        <v>17</v>
      </c>
    </row>
    <row r="825" spans="1:6" x14ac:dyDescent="0.3">
      <c r="A825" s="14">
        <v>824</v>
      </c>
      <c r="B825" s="14" t="s">
        <v>1180</v>
      </c>
      <c r="C825" s="14">
        <v>22</v>
      </c>
      <c r="D825" s="14" t="str">
        <f>IFERROR(INDEX(Teams!$B$2:$B$49,MATCH($C825,Teams!$A$2:$A$49,0)),"")</f>
        <v>Norway</v>
      </c>
      <c r="E825" s="14" t="s">
        <v>361</v>
      </c>
      <c r="F825" s="14">
        <v>18</v>
      </c>
    </row>
    <row r="826" spans="1:6" x14ac:dyDescent="0.3">
      <c r="A826" s="14">
        <v>825</v>
      </c>
      <c r="B826" s="14" t="s">
        <v>1181</v>
      </c>
      <c r="C826" s="14">
        <v>22</v>
      </c>
      <c r="D826" s="14" t="str">
        <f>IFERROR(INDEX(Teams!$B$2:$B$49,MATCH($C826,Teams!$A$2:$A$49,0)),"")</f>
        <v>Norway</v>
      </c>
      <c r="E826" s="14" t="s">
        <v>361</v>
      </c>
      <c r="F826" s="14">
        <v>19</v>
      </c>
    </row>
    <row r="827" spans="1:6" x14ac:dyDescent="0.3">
      <c r="A827" s="14">
        <v>826</v>
      </c>
      <c r="B827" s="14" t="s">
        <v>1182</v>
      </c>
      <c r="C827" s="14">
        <v>22</v>
      </c>
      <c r="D827" s="14" t="str">
        <f>IFERROR(INDEX(Teams!$B$2:$B$49,MATCH($C827,Teams!$A$2:$A$49,0)),"")</f>
        <v>Norway</v>
      </c>
      <c r="E827" s="14" t="s">
        <v>363</v>
      </c>
      <c r="F827" s="14">
        <v>20</v>
      </c>
    </row>
    <row r="828" spans="1:6" x14ac:dyDescent="0.3">
      <c r="A828" s="14">
        <v>827</v>
      </c>
      <c r="B828" s="14" t="s">
        <v>1183</v>
      </c>
      <c r="C828" s="14">
        <v>22</v>
      </c>
      <c r="D828" s="14" t="str">
        <f>IFERROR(INDEX(Teams!$B$2:$B$49,MATCH($C828,Teams!$A$2:$A$49,0)),"")</f>
        <v>Norway</v>
      </c>
      <c r="E828" s="14" t="s">
        <v>361</v>
      </c>
      <c r="F828" s="14">
        <v>21</v>
      </c>
    </row>
    <row r="829" spans="1:6" x14ac:dyDescent="0.3">
      <c r="A829" s="14">
        <v>828</v>
      </c>
      <c r="B829" s="14" t="s">
        <v>1184</v>
      </c>
      <c r="C829" s="14">
        <v>22</v>
      </c>
      <c r="D829" s="14" t="str">
        <f>IFERROR(INDEX(Teams!$B$2:$B$49,MATCH($C829,Teams!$A$2:$A$49,0)),"")</f>
        <v>Norway</v>
      </c>
      <c r="E829" s="14" t="s">
        <v>361</v>
      </c>
      <c r="F829" s="14">
        <v>22</v>
      </c>
    </row>
    <row r="830" spans="1:6" x14ac:dyDescent="0.3">
      <c r="A830" s="14">
        <v>829</v>
      </c>
      <c r="B830" s="14" t="s">
        <v>1185</v>
      </c>
      <c r="C830" s="14">
        <v>22</v>
      </c>
      <c r="D830" s="14" t="str">
        <f>IFERROR(INDEX(Teams!$B$2:$B$49,MATCH($C830,Teams!$A$2:$A$49,0)),"")</f>
        <v>Norway</v>
      </c>
      <c r="E830" s="14" t="s">
        <v>361</v>
      </c>
      <c r="F830" s="14">
        <v>23</v>
      </c>
    </row>
    <row r="831" spans="1:6" x14ac:dyDescent="0.3">
      <c r="A831" s="14">
        <v>830</v>
      </c>
      <c r="B831" s="14" t="s">
        <v>1186</v>
      </c>
      <c r="C831" s="14">
        <v>22</v>
      </c>
      <c r="D831" s="14" t="str">
        <f>IFERROR(INDEX(Teams!$B$2:$B$49,MATCH($C831,Teams!$A$2:$A$49,0)),"")</f>
        <v>Norway</v>
      </c>
      <c r="E831" s="14" t="s">
        <v>356</v>
      </c>
      <c r="F831" s="14">
        <v>24</v>
      </c>
    </row>
    <row r="832" spans="1:6" x14ac:dyDescent="0.3">
      <c r="A832" s="14">
        <v>831</v>
      </c>
      <c r="B832" s="14" t="s">
        <v>1187</v>
      </c>
      <c r="C832" s="14">
        <v>22</v>
      </c>
      <c r="D832" s="14" t="str">
        <f>IFERROR(INDEX(Teams!$B$2:$B$49,MATCH($C832,Teams!$A$2:$A$49,0)),"")</f>
        <v>Norway</v>
      </c>
      <c r="E832" s="14" t="s">
        <v>356</v>
      </c>
      <c r="F832" s="14">
        <v>25</v>
      </c>
    </row>
    <row r="833" spans="1:6" x14ac:dyDescent="0.3">
      <c r="A833" s="14">
        <v>832</v>
      </c>
      <c r="B833" s="14" t="s">
        <v>1188</v>
      </c>
      <c r="C833" s="14">
        <v>22</v>
      </c>
      <c r="D833" s="14" t="str">
        <f>IFERROR(INDEX(Teams!$B$2:$B$49,MATCH($C833,Teams!$A$2:$A$49,0)),"")</f>
        <v>Norway</v>
      </c>
      <c r="E833" s="14" t="s">
        <v>363</v>
      </c>
      <c r="F833" s="14">
        <v>26</v>
      </c>
    </row>
    <row r="834" spans="1:6" x14ac:dyDescent="0.3">
      <c r="A834" s="14">
        <v>833</v>
      </c>
      <c r="B834" s="14" t="s">
        <v>1189</v>
      </c>
      <c r="C834" s="14">
        <v>43</v>
      </c>
      <c r="D834" s="14" t="str">
        <f>IFERROR(INDEX(Teams!$B$2:$B$49,MATCH($C834,Teams!$A$2:$A$49,0)),"")</f>
        <v>Panama</v>
      </c>
      <c r="E834" s="14" t="s">
        <v>354</v>
      </c>
      <c r="F834" s="14">
        <v>1</v>
      </c>
    </row>
    <row r="835" spans="1:6" x14ac:dyDescent="0.3">
      <c r="A835" s="14">
        <v>834</v>
      </c>
      <c r="B835" s="14" t="s">
        <v>1190</v>
      </c>
      <c r="C835" s="14">
        <v>43</v>
      </c>
      <c r="D835" s="14" t="str">
        <f>IFERROR(INDEX(Teams!$B$2:$B$49,MATCH($C835,Teams!$A$2:$A$49,0)),"")</f>
        <v>Panama</v>
      </c>
      <c r="E835" s="14" t="s">
        <v>356</v>
      </c>
      <c r="F835" s="14">
        <v>2</v>
      </c>
    </row>
    <row r="836" spans="1:6" x14ac:dyDescent="0.3">
      <c r="A836" s="14">
        <v>835</v>
      </c>
      <c r="B836" s="14" t="s">
        <v>1191</v>
      </c>
      <c r="C836" s="14">
        <v>43</v>
      </c>
      <c r="D836" s="14" t="str">
        <f>IFERROR(INDEX(Teams!$B$2:$B$49,MATCH($C836,Teams!$A$2:$A$49,0)),"")</f>
        <v>Panama</v>
      </c>
      <c r="E836" s="14" t="s">
        <v>356</v>
      </c>
      <c r="F836" s="14">
        <v>3</v>
      </c>
    </row>
    <row r="837" spans="1:6" x14ac:dyDescent="0.3">
      <c r="A837" s="14">
        <v>836</v>
      </c>
      <c r="B837" s="14" t="s">
        <v>1192</v>
      </c>
      <c r="C837" s="14">
        <v>43</v>
      </c>
      <c r="D837" s="14" t="str">
        <f>IFERROR(INDEX(Teams!$B$2:$B$49,MATCH($C837,Teams!$A$2:$A$49,0)),"")</f>
        <v>Panama</v>
      </c>
      <c r="E837" s="14" t="s">
        <v>356</v>
      </c>
      <c r="F837" s="14">
        <v>4</v>
      </c>
    </row>
    <row r="838" spans="1:6" x14ac:dyDescent="0.3">
      <c r="A838" s="14">
        <v>837</v>
      </c>
      <c r="B838" s="14" t="s">
        <v>1193</v>
      </c>
      <c r="C838" s="14">
        <v>43</v>
      </c>
      <c r="D838" s="14" t="str">
        <f>IFERROR(INDEX(Teams!$B$2:$B$49,MATCH($C838,Teams!$A$2:$A$49,0)),"")</f>
        <v>Panama</v>
      </c>
      <c r="E838" s="14" t="s">
        <v>356</v>
      </c>
      <c r="F838" s="14">
        <v>5</v>
      </c>
    </row>
    <row r="839" spans="1:6" x14ac:dyDescent="0.3">
      <c r="A839" s="14">
        <v>838</v>
      </c>
      <c r="B839" s="14" t="s">
        <v>1194</v>
      </c>
      <c r="C839" s="14">
        <v>43</v>
      </c>
      <c r="D839" s="14" t="str">
        <f>IFERROR(INDEX(Teams!$B$2:$B$49,MATCH($C839,Teams!$A$2:$A$49,0)),"")</f>
        <v>Panama</v>
      </c>
      <c r="E839" s="14" t="s">
        <v>361</v>
      </c>
      <c r="F839" s="14">
        <v>6</v>
      </c>
    </row>
    <row r="840" spans="1:6" x14ac:dyDescent="0.3">
      <c r="A840" s="14">
        <v>839</v>
      </c>
      <c r="B840" s="14" t="s">
        <v>1195</v>
      </c>
      <c r="C840" s="14">
        <v>43</v>
      </c>
      <c r="D840" s="14" t="str">
        <f>IFERROR(INDEX(Teams!$B$2:$B$49,MATCH($C840,Teams!$A$2:$A$49,0)),"")</f>
        <v>Panama</v>
      </c>
      <c r="E840" s="14" t="s">
        <v>361</v>
      </c>
      <c r="F840" s="14">
        <v>7</v>
      </c>
    </row>
    <row r="841" spans="1:6" x14ac:dyDescent="0.3">
      <c r="A841" s="14">
        <v>840</v>
      </c>
      <c r="B841" s="14" t="s">
        <v>1196</v>
      </c>
      <c r="C841" s="14">
        <v>43</v>
      </c>
      <c r="D841" s="14" t="str">
        <f>IFERROR(INDEX(Teams!$B$2:$B$49,MATCH($C841,Teams!$A$2:$A$49,0)),"")</f>
        <v>Panama</v>
      </c>
      <c r="E841" s="14" t="s">
        <v>361</v>
      </c>
      <c r="F841" s="14">
        <v>8</v>
      </c>
    </row>
    <row r="842" spans="1:6" x14ac:dyDescent="0.3">
      <c r="A842" s="14">
        <v>841</v>
      </c>
      <c r="B842" s="14" t="s">
        <v>1197</v>
      </c>
      <c r="C842" s="14">
        <v>43</v>
      </c>
      <c r="D842" s="14" t="str">
        <f>IFERROR(INDEX(Teams!$B$2:$B$49,MATCH($C842,Teams!$A$2:$A$49,0)),"")</f>
        <v>Panama</v>
      </c>
      <c r="E842" s="14" t="s">
        <v>363</v>
      </c>
      <c r="F842" s="14">
        <v>9</v>
      </c>
    </row>
    <row r="843" spans="1:6" x14ac:dyDescent="0.3">
      <c r="A843" s="14">
        <v>842</v>
      </c>
      <c r="B843" s="14" t="s">
        <v>1198</v>
      </c>
      <c r="C843" s="14">
        <v>43</v>
      </c>
      <c r="D843" s="14" t="str">
        <f>IFERROR(INDEX(Teams!$B$2:$B$49,MATCH($C843,Teams!$A$2:$A$49,0)),"")</f>
        <v>Panama</v>
      </c>
      <c r="E843" s="14" t="s">
        <v>361</v>
      </c>
      <c r="F843" s="14">
        <v>10</v>
      </c>
    </row>
    <row r="844" spans="1:6" x14ac:dyDescent="0.3">
      <c r="A844" s="14">
        <v>843</v>
      </c>
      <c r="B844" s="14" t="s">
        <v>1199</v>
      </c>
      <c r="C844" s="14">
        <v>43</v>
      </c>
      <c r="D844" s="14" t="str">
        <f>IFERROR(INDEX(Teams!$B$2:$B$49,MATCH($C844,Teams!$A$2:$A$49,0)),"")</f>
        <v>Panama</v>
      </c>
      <c r="E844" s="14" t="s">
        <v>361</v>
      </c>
      <c r="F844" s="14">
        <v>11</v>
      </c>
    </row>
    <row r="845" spans="1:6" x14ac:dyDescent="0.3">
      <c r="A845" s="14">
        <v>844</v>
      </c>
      <c r="B845" s="14" t="s">
        <v>1200</v>
      </c>
      <c r="C845" s="14">
        <v>43</v>
      </c>
      <c r="D845" s="14" t="str">
        <f>IFERROR(INDEX(Teams!$B$2:$B$49,MATCH($C845,Teams!$A$2:$A$49,0)),"")</f>
        <v>Panama</v>
      </c>
      <c r="E845" s="14" t="s">
        <v>354</v>
      </c>
      <c r="F845" s="14">
        <v>12</v>
      </c>
    </row>
    <row r="846" spans="1:6" x14ac:dyDescent="0.3">
      <c r="A846" s="14">
        <v>845</v>
      </c>
      <c r="B846" s="14" t="s">
        <v>1201</v>
      </c>
      <c r="C846" s="14">
        <v>43</v>
      </c>
      <c r="D846" s="14" t="str">
        <f>IFERROR(INDEX(Teams!$B$2:$B$49,MATCH($C846,Teams!$A$2:$A$49,0)),"")</f>
        <v>Panama</v>
      </c>
      <c r="E846" s="14" t="s">
        <v>356</v>
      </c>
      <c r="F846" s="14">
        <v>13</v>
      </c>
    </row>
    <row r="847" spans="1:6" x14ac:dyDescent="0.3">
      <c r="A847" s="14">
        <v>846</v>
      </c>
      <c r="B847" s="14" t="s">
        <v>1202</v>
      </c>
      <c r="C847" s="14">
        <v>43</v>
      </c>
      <c r="D847" s="14" t="str">
        <f>IFERROR(INDEX(Teams!$B$2:$B$49,MATCH($C847,Teams!$A$2:$A$49,0)),"")</f>
        <v>Panama</v>
      </c>
      <c r="E847" s="14" t="s">
        <v>356</v>
      </c>
      <c r="F847" s="14">
        <v>14</v>
      </c>
    </row>
    <row r="848" spans="1:6" x14ac:dyDescent="0.3">
      <c r="A848" s="14">
        <v>847</v>
      </c>
      <c r="B848" s="14" t="s">
        <v>1203</v>
      </c>
      <c r="C848" s="14">
        <v>43</v>
      </c>
      <c r="D848" s="14" t="str">
        <f>IFERROR(INDEX(Teams!$B$2:$B$49,MATCH($C848,Teams!$A$2:$A$49,0)),"")</f>
        <v>Panama</v>
      </c>
      <c r="E848" s="14" t="s">
        <v>356</v>
      </c>
      <c r="F848" s="14">
        <v>15</v>
      </c>
    </row>
    <row r="849" spans="1:6" x14ac:dyDescent="0.3">
      <c r="A849" s="14">
        <v>848</v>
      </c>
      <c r="B849" s="14" t="s">
        <v>1204</v>
      </c>
      <c r="C849" s="14">
        <v>43</v>
      </c>
      <c r="D849" s="14" t="str">
        <f>IFERROR(INDEX(Teams!$B$2:$B$49,MATCH($C849,Teams!$A$2:$A$49,0)),"")</f>
        <v>Panama</v>
      </c>
      <c r="E849" s="14" t="s">
        <v>356</v>
      </c>
      <c r="F849" s="14">
        <v>16</v>
      </c>
    </row>
    <row r="850" spans="1:6" x14ac:dyDescent="0.3">
      <c r="A850" s="14">
        <v>849</v>
      </c>
      <c r="B850" s="14" t="s">
        <v>1205</v>
      </c>
      <c r="C850" s="14">
        <v>43</v>
      </c>
      <c r="D850" s="14" t="str">
        <f>IFERROR(INDEX(Teams!$B$2:$B$49,MATCH($C850,Teams!$A$2:$A$49,0)),"")</f>
        <v>Panama</v>
      </c>
      <c r="E850" s="14" t="s">
        <v>363</v>
      </c>
      <c r="F850" s="14">
        <v>17</v>
      </c>
    </row>
    <row r="851" spans="1:6" x14ac:dyDescent="0.3">
      <c r="A851" s="14">
        <v>850</v>
      </c>
      <c r="B851" s="14" t="s">
        <v>1206</v>
      </c>
      <c r="C851" s="14">
        <v>43</v>
      </c>
      <c r="D851" s="14" t="str">
        <f>IFERROR(INDEX(Teams!$B$2:$B$49,MATCH($C851,Teams!$A$2:$A$49,0)),"")</f>
        <v>Panama</v>
      </c>
      <c r="E851" s="14" t="s">
        <v>363</v>
      </c>
      <c r="F851" s="14">
        <v>18</v>
      </c>
    </row>
    <row r="852" spans="1:6" x14ac:dyDescent="0.3">
      <c r="A852" s="14">
        <v>851</v>
      </c>
      <c r="B852" s="14" t="s">
        <v>1207</v>
      </c>
      <c r="C852" s="14">
        <v>43</v>
      </c>
      <c r="D852" s="14" t="str">
        <f>IFERROR(INDEX(Teams!$B$2:$B$49,MATCH($C852,Teams!$A$2:$A$49,0)),"")</f>
        <v>Panama</v>
      </c>
      <c r="E852" s="14" t="s">
        <v>361</v>
      </c>
      <c r="F852" s="14">
        <v>19</v>
      </c>
    </row>
    <row r="853" spans="1:6" x14ac:dyDescent="0.3">
      <c r="A853" s="14">
        <v>852</v>
      </c>
      <c r="B853" s="14" t="s">
        <v>1208</v>
      </c>
      <c r="C853" s="14">
        <v>43</v>
      </c>
      <c r="D853" s="14" t="str">
        <f>IFERROR(INDEX(Teams!$B$2:$B$49,MATCH($C853,Teams!$A$2:$A$49,0)),"")</f>
        <v>Panama</v>
      </c>
      <c r="E853" s="14" t="s">
        <v>361</v>
      </c>
      <c r="F853" s="14">
        <v>20</v>
      </c>
    </row>
    <row r="854" spans="1:6" x14ac:dyDescent="0.3">
      <c r="A854" s="14">
        <v>853</v>
      </c>
      <c r="B854" s="14" t="s">
        <v>1209</v>
      </c>
      <c r="C854" s="14">
        <v>43</v>
      </c>
      <c r="D854" s="14" t="str">
        <f>IFERROR(INDEX(Teams!$B$2:$B$49,MATCH($C854,Teams!$A$2:$A$49,0)),"")</f>
        <v>Panama</v>
      </c>
      <c r="E854" s="14" t="s">
        <v>361</v>
      </c>
      <c r="F854" s="14">
        <v>21</v>
      </c>
    </row>
    <row r="855" spans="1:6" x14ac:dyDescent="0.3">
      <c r="A855" s="14">
        <v>854</v>
      </c>
      <c r="B855" s="14" t="s">
        <v>1210</v>
      </c>
      <c r="C855" s="14">
        <v>43</v>
      </c>
      <c r="D855" s="14" t="str">
        <f>IFERROR(INDEX(Teams!$B$2:$B$49,MATCH($C855,Teams!$A$2:$A$49,0)),"")</f>
        <v>Panama</v>
      </c>
      <c r="E855" s="14" t="s">
        <v>354</v>
      </c>
      <c r="F855" s="14">
        <v>22</v>
      </c>
    </row>
    <row r="856" spans="1:6" x14ac:dyDescent="0.3">
      <c r="A856" s="14">
        <v>855</v>
      </c>
      <c r="B856" s="14" t="s">
        <v>1211</v>
      </c>
      <c r="C856" s="14">
        <v>43</v>
      </c>
      <c r="D856" s="14" t="str">
        <f>IFERROR(INDEX(Teams!$B$2:$B$49,MATCH($C856,Teams!$A$2:$A$49,0)),"")</f>
        <v>Panama</v>
      </c>
      <c r="E856" s="14" t="s">
        <v>356</v>
      </c>
      <c r="F856" s="14">
        <v>23</v>
      </c>
    </row>
    <row r="857" spans="1:6" x14ac:dyDescent="0.3">
      <c r="A857" s="14">
        <v>856</v>
      </c>
      <c r="B857" s="14" t="s">
        <v>1212</v>
      </c>
      <c r="C857" s="14">
        <v>43</v>
      </c>
      <c r="D857" s="14" t="str">
        <f>IFERROR(INDEX(Teams!$B$2:$B$49,MATCH($C857,Teams!$A$2:$A$49,0)),"")</f>
        <v>Panama</v>
      </c>
      <c r="E857" s="14" t="s">
        <v>363</v>
      </c>
      <c r="F857" s="14">
        <v>24</v>
      </c>
    </row>
    <row r="858" spans="1:6" x14ac:dyDescent="0.3">
      <c r="A858" s="14">
        <v>857</v>
      </c>
      <c r="B858" s="14" t="s">
        <v>1213</v>
      </c>
      <c r="C858" s="14">
        <v>43</v>
      </c>
      <c r="D858" s="14" t="str">
        <f>IFERROR(INDEX(Teams!$B$2:$B$49,MATCH($C858,Teams!$A$2:$A$49,0)),"")</f>
        <v>Panama</v>
      </c>
      <c r="E858" s="14" t="s">
        <v>356</v>
      </c>
      <c r="F858" s="14">
        <v>25</v>
      </c>
    </row>
    <row r="859" spans="1:6" x14ac:dyDescent="0.3">
      <c r="A859" s="14">
        <v>858</v>
      </c>
      <c r="B859" s="14" t="s">
        <v>1214</v>
      </c>
      <c r="C859" s="14">
        <v>43</v>
      </c>
      <c r="D859" s="14" t="str">
        <f>IFERROR(INDEX(Teams!$B$2:$B$49,MATCH($C859,Teams!$A$2:$A$49,0)),"")</f>
        <v>Panama</v>
      </c>
      <c r="E859" s="14" t="s">
        <v>356</v>
      </c>
      <c r="F859" s="14">
        <v>26</v>
      </c>
    </row>
    <row r="860" spans="1:6" x14ac:dyDescent="0.3">
      <c r="A860" s="14">
        <v>859</v>
      </c>
      <c r="B860" s="14" t="s">
        <v>1215</v>
      </c>
      <c r="C860" s="14">
        <v>32</v>
      </c>
      <c r="D860" s="14" t="str">
        <f>IFERROR(INDEX(Teams!$B$2:$B$49,MATCH($C860,Teams!$A$2:$A$49,0)),"")</f>
        <v>Paraguay</v>
      </c>
      <c r="E860" s="14" t="s">
        <v>354</v>
      </c>
      <c r="F860" s="14">
        <v>1</v>
      </c>
    </row>
    <row r="861" spans="1:6" x14ac:dyDescent="0.3">
      <c r="A861" s="14">
        <v>860</v>
      </c>
      <c r="B861" s="14" t="s">
        <v>1216</v>
      </c>
      <c r="C861" s="14">
        <v>32</v>
      </c>
      <c r="D861" s="14" t="str">
        <f>IFERROR(INDEX(Teams!$B$2:$B$49,MATCH($C861,Teams!$A$2:$A$49,0)),"")</f>
        <v>Paraguay</v>
      </c>
      <c r="E861" s="14" t="s">
        <v>356</v>
      </c>
      <c r="F861" s="14">
        <v>2</v>
      </c>
    </row>
    <row r="862" spans="1:6" x14ac:dyDescent="0.3">
      <c r="A862" s="14">
        <v>861</v>
      </c>
      <c r="B862" s="14" t="s">
        <v>1217</v>
      </c>
      <c r="C862" s="14">
        <v>32</v>
      </c>
      <c r="D862" s="14" t="str">
        <f>IFERROR(INDEX(Teams!$B$2:$B$49,MATCH($C862,Teams!$A$2:$A$49,0)),"")</f>
        <v>Paraguay</v>
      </c>
      <c r="E862" s="14" t="s">
        <v>356</v>
      </c>
      <c r="F862" s="14">
        <v>3</v>
      </c>
    </row>
    <row r="863" spans="1:6" x14ac:dyDescent="0.3">
      <c r="A863" s="14">
        <v>862</v>
      </c>
      <c r="B863" s="14" t="s">
        <v>1218</v>
      </c>
      <c r="C863" s="14">
        <v>32</v>
      </c>
      <c r="D863" s="14" t="str">
        <f>IFERROR(INDEX(Teams!$B$2:$B$49,MATCH($C863,Teams!$A$2:$A$49,0)),"")</f>
        <v>Paraguay</v>
      </c>
      <c r="E863" s="14" t="s">
        <v>356</v>
      </c>
      <c r="F863" s="14">
        <v>4</v>
      </c>
    </row>
    <row r="864" spans="1:6" x14ac:dyDescent="0.3">
      <c r="A864" s="14">
        <v>863</v>
      </c>
      <c r="B864" s="14" t="s">
        <v>1219</v>
      </c>
      <c r="C864" s="14">
        <v>32</v>
      </c>
      <c r="D864" s="14" t="str">
        <f>IFERROR(INDEX(Teams!$B$2:$B$49,MATCH($C864,Teams!$A$2:$A$49,0)),"")</f>
        <v>Paraguay</v>
      </c>
      <c r="E864" s="14" t="s">
        <v>356</v>
      </c>
      <c r="F864" s="14">
        <v>5</v>
      </c>
    </row>
    <row r="865" spans="1:6" x14ac:dyDescent="0.3">
      <c r="A865" s="14">
        <v>864</v>
      </c>
      <c r="B865" s="14" t="s">
        <v>1220</v>
      </c>
      <c r="C865" s="14">
        <v>32</v>
      </c>
      <c r="D865" s="14" t="str">
        <f>IFERROR(INDEX(Teams!$B$2:$B$49,MATCH($C865,Teams!$A$2:$A$49,0)),"")</f>
        <v>Paraguay</v>
      </c>
      <c r="E865" s="14" t="s">
        <v>356</v>
      </c>
      <c r="F865" s="14">
        <v>6</v>
      </c>
    </row>
    <row r="866" spans="1:6" x14ac:dyDescent="0.3">
      <c r="A866" s="14">
        <v>865</v>
      </c>
      <c r="B866" s="14" t="s">
        <v>1221</v>
      </c>
      <c r="C866" s="14">
        <v>32</v>
      </c>
      <c r="D866" s="14" t="str">
        <f>IFERROR(INDEX(Teams!$B$2:$B$49,MATCH($C866,Teams!$A$2:$A$49,0)),"")</f>
        <v>Paraguay</v>
      </c>
      <c r="E866" s="14" t="s">
        <v>361</v>
      </c>
      <c r="F866" s="14">
        <v>7</v>
      </c>
    </row>
    <row r="867" spans="1:6" x14ac:dyDescent="0.3">
      <c r="A867" s="14">
        <v>866</v>
      </c>
      <c r="B867" s="14" t="s">
        <v>1222</v>
      </c>
      <c r="C867" s="14">
        <v>32</v>
      </c>
      <c r="D867" s="14" t="str">
        <f>IFERROR(INDEX(Teams!$B$2:$B$49,MATCH($C867,Teams!$A$2:$A$49,0)),"")</f>
        <v>Paraguay</v>
      </c>
      <c r="E867" s="14" t="s">
        <v>361</v>
      </c>
      <c r="F867" s="14">
        <v>8</v>
      </c>
    </row>
    <row r="868" spans="1:6" x14ac:dyDescent="0.3">
      <c r="A868" s="14">
        <v>867</v>
      </c>
      <c r="B868" s="14" t="s">
        <v>1223</v>
      </c>
      <c r="C868" s="14">
        <v>32</v>
      </c>
      <c r="D868" s="14" t="str">
        <f>IFERROR(INDEX(Teams!$B$2:$B$49,MATCH($C868,Teams!$A$2:$A$49,0)),"")</f>
        <v>Paraguay</v>
      </c>
      <c r="E868" s="14" t="s">
        <v>363</v>
      </c>
      <c r="F868" s="14">
        <v>9</v>
      </c>
    </row>
    <row r="869" spans="1:6" x14ac:dyDescent="0.3">
      <c r="A869" s="14">
        <v>868</v>
      </c>
      <c r="B869" s="14" t="s">
        <v>1224</v>
      </c>
      <c r="C869" s="14">
        <v>32</v>
      </c>
      <c r="D869" s="14" t="str">
        <f>IFERROR(INDEX(Teams!$B$2:$B$49,MATCH($C869,Teams!$A$2:$A$49,0)),"")</f>
        <v>Paraguay</v>
      </c>
      <c r="E869" s="14" t="s">
        <v>361</v>
      </c>
      <c r="F869" s="14">
        <v>10</v>
      </c>
    </row>
    <row r="870" spans="1:6" x14ac:dyDescent="0.3">
      <c r="A870" s="14">
        <v>869</v>
      </c>
      <c r="B870" s="14" t="s">
        <v>1225</v>
      </c>
      <c r="C870" s="14">
        <v>32</v>
      </c>
      <c r="D870" s="14" t="str">
        <f>IFERROR(INDEX(Teams!$B$2:$B$49,MATCH($C870,Teams!$A$2:$A$49,0)),"")</f>
        <v>Paraguay</v>
      </c>
      <c r="E870" s="14" t="s">
        <v>361</v>
      </c>
      <c r="F870" s="14">
        <v>11</v>
      </c>
    </row>
    <row r="871" spans="1:6" x14ac:dyDescent="0.3">
      <c r="A871" s="14">
        <v>870</v>
      </c>
      <c r="B871" s="14" t="s">
        <v>1226</v>
      </c>
      <c r="C871" s="14">
        <v>32</v>
      </c>
      <c r="D871" s="14" t="str">
        <f>IFERROR(INDEX(Teams!$B$2:$B$49,MATCH($C871,Teams!$A$2:$A$49,0)),"")</f>
        <v>Paraguay</v>
      </c>
      <c r="E871" s="14" t="s">
        <v>354</v>
      </c>
      <c r="F871" s="14">
        <v>12</v>
      </c>
    </row>
    <row r="872" spans="1:6" x14ac:dyDescent="0.3">
      <c r="A872" s="14">
        <v>871</v>
      </c>
      <c r="B872" s="14" t="s">
        <v>1227</v>
      </c>
      <c r="C872" s="14">
        <v>32</v>
      </c>
      <c r="D872" s="14" t="str">
        <f>IFERROR(INDEX(Teams!$B$2:$B$49,MATCH($C872,Teams!$A$2:$A$49,0)),"")</f>
        <v>Paraguay</v>
      </c>
      <c r="E872" s="14" t="s">
        <v>356</v>
      </c>
      <c r="F872" s="14">
        <v>13</v>
      </c>
    </row>
    <row r="873" spans="1:6" x14ac:dyDescent="0.3">
      <c r="A873" s="14">
        <v>872</v>
      </c>
      <c r="B873" s="14" t="s">
        <v>1228</v>
      </c>
      <c r="C873" s="14">
        <v>32</v>
      </c>
      <c r="D873" s="14" t="str">
        <f>IFERROR(INDEX(Teams!$B$2:$B$49,MATCH($C873,Teams!$A$2:$A$49,0)),"")</f>
        <v>Paraguay</v>
      </c>
      <c r="E873" s="14" t="s">
        <v>361</v>
      </c>
      <c r="F873" s="14">
        <v>14</v>
      </c>
    </row>
    <row r="874" spans="1:6" x14ac:dyDescent="0.3">
      <c r="A874" s="14">
        <v>873</v>
      </c>
      <c r="B874" s="14" t="s">
        <v>1229</v>
      </c>
      <c r="C874" s="14">
        <v>32</v>
      </c>
      <c r="D874" s="14" t="str">
        <f>IFERROR(INDEX(Teams!$B$2:$B$49,MATCH($C874,Teams!$A$2:$A$49,0)),"")</f>
        <v>Paraguay</v>
      </c>
      <c r="E874" s="14" t="s">
        <v>356</v>
      </c>
      <c r="F874" s="14">
        <v>15</v>
      </c>
    </row>
    <row r="875" spans="1:6" x14ac:dyDescent="0.3">
      <c r="A875" s="14">
        <v>874</v>
      </c>
      <c r="B875" s="14" t="s">
        <v>1230</v>
      </c>
      <c r="C875" s="14">
        <v>32</v>
      </c>
      <c r="D875" s="14" t="str">
        <f>IFERROR(INDEX(Teams!$B$2:$B$49,MATCH($C875,Teams!$A$2:$A$49,0)),"")</f>
        <v>Paraguay</v>
      </c>
      <c r="E875" s="14" t="s">
        <v>361</v>
      </c>
      <c r="F875" s="14">
        <v>16</v>
      </c>
    </row>
    <row r="876" spans="1:6" x14ac:dyDescent="0.3">
      <c r="A876" s="14">
        <v>875</v>
      </c>
      <c r="B876" s="14" t="s">
        <v>1231</v>
      </c>
      <c r="C876" s="14">
        <v>32</v>
      </c>
      <c r="D876" s="14" t="str">
        <f>IFERROR(INDEX(Teams!$B$2:$B$49,MATCH($C876,Teams!$A$2:$A$49,0)),"")</f>
        <v>Paraguay</v>
      </c>
      <c r="E876" s="14" t="s">
        <v>363</v>
      </c>
      <c r="F876" s="14">
        <v>17</v>
      </c>
    </row>
    <row r="877" spans="1:6" x14ac:dyDescent="0.3">
      <c r="A877" s="14">
        <v>876</v>
      </c>
      <c r="B877" s="14" t="s">
        <v>1232</v>
      </c>
      <c r="C877" s="14">
        <v>32</v>
      </c>
      <c r="D877" s="14" t="str">
        <f>IFERROR(INDEX(Teams!$B$2:$B$49,MATCH($C877,Teams!$A$2:$A$49,0)),"")</f>
        <v>Paraguay</v>
      </c>
      <c r="E877" s="14" t="s">
        <v>363</v>
      </c>
      <c r="F877" s="14">
        <v>18</v>
      </c>
    </row>
    <row r="878" spans="1:6" x14ac:dyDescent="0.3">
      <c r="A878" s="14">
        <v>877</v>
      </c>
      <c r="B878" s="14" t="s">
        <v>1233</v>
      </c>
      <c r="C878" s="14">
        <v>32</v>
      </c>
      <c r="D878" s="14" t="str">
        <f>IFERROR(INDEX(Teams!$B$2:$B$49,MATCH($C878,Teams!$A$2:$A$49,0)),"")</f>
        <v>Paraguay</v>
      </c>
      <c r="E878" s="14" t="s">
        <v>363</v>
      </c>
      <c r="F878" s="14">
        <v>19</v>
      </c>
    </row>
    <row r="879" spans="1:6" x14ac:dyDescent="0.3">
      <c r="A879" s="14">
        <v>878</v>
      </c>
      <c r="B879" s="14" t="s">
        <v>1234</v>
      </c>
      <c r="C879" s="14">
        <v>32</v>
      </c>
      <c r="D879" s="14" t="str">
        <f>IFERROR(INDEX(Teams!$B$2:$B$49,MATCH($C879,Teams!$A$2:$A$49,0)),"")</f>
        <v>Paraguay</v>
      </c>
      <c r="E879" s="14" t="s">
        <v>361</v>
      </c>
      <c r="F879" s="14">
        <v>20</v>
      </c>
    </row>
    <row r="880" spans="1:6" x14ac:dyDescent="0.3">
      <c r="A880" s="14">
        <v>879</v>
      </c>
      <c r="B880" s="14" t="s">
        <v>1235</v>
      </c>
      <c r="C880" s="14">
        <v>32</v>
      </c>
      <c r="D880" s="14" t="str">
        <f>IFERROR(INDEX(Teams!$B$2:$B$49,MATCH($C880,Teams!$A$2:$A$49,0)),"")</f>
        <v>Paraguay</v>
      </c>
      <c r="E880" s="14" t="s">
        <v>363</v>
      </c>
      <c r="F880" s="14">
        <v>21</v>
      </c>
    </row>
    <row r="881" spans="1:6" x14ac:dyDescent="0.3">
      <c r="A881" s="14">
        <v>880</v>
      </c>
      <c r="B881" s="14" t="s">
        <v>1236</v>
      </c>
      <c r="C881" s="14">
        <v>32</v>
      </c>
      <c r="D881" s="14" t="str">
        <f>IFERROR(INDEX(Teams!$B$2:$B$49,MATCH($C881,Teams!$A$2:$A$49,0)),"")</f>
        <v>Paraguay</v>
      </c>
      <c r="E881" s="14" t="s">
        <v>354</v>
      </c>
      <c r="F881" s="14">
        <v>22</v>
      </c>
    </row>
    <row r="882" spans="1:6" x14ac:dyDescent="0.3">
      <c r="A882" s="14">
        <v>881</v>
      </c>
      <c r="B882" s="14" t="s">
        <v>1237</v>
      </c>
      <c r="C882" s="14">
        <v>32</v>
      </c>
      <c r="D882" s="14" t="str">
        <f>IFERROR(INDEX(Teams!$B$2:$B$49,MATCH($C882,Teams!$A$2:$A$49,0)),"")</f>
        <v>Paraguay</v>
      </c>
      <c r="E882" s="14" t="s">
        <v>361</v>
      </c>
      <c r="F882" s="14">
        <v>23</v>
      </c>
    </row>
    <row r="883" spans="1:6" x14ac:dyDescent="0.3">
      <c r="A883" s="14">
        <v>882</v>
      </c>
      <c r="B883" s="14" t="s">
        <v>1238</v>
      </c>
      <c r="C883" s="14">
        <v>32</v>
      </c>
      <c r="D883" s="14" t="str">
        <f>IFERROR(INDEX(Teams!$B$2:$B$49,MATCH($C883,Teams!$A$2:$A$49,0)),"")</f>
        <v>Paraguay</v>
      </c>
      <c r="E883" s="14" t="s">
        <v>361</v>
      </c>
      <c r="F883" s="14">
        <v>24</v>
      </c>
    </row>
    <row r="884" spans="1:6" x14ac:dyDescent="0.3">
      <c r="A884" s="14">
        <v>883</v>
      </c>
      <c r="B884" s="14" t="s">
        <v>1239</v>
      </c>
      <c r="C884" s="14">
        <v>32</v>
      </c>
      <c r="D884" s="14" t="str">
        <f>IFERROR(INDEX(Teams!$B$2:$B$49,MATCH($C884,Teams!$A$2:$A$49,0)),"")</f>
        <v>Paraguay</v>
      </c>
      <c r="E884" s="14" t="s">
        <v>363</v>
      </c>
      <c r="F884" s="14">
        <v>25</v>
      </c>
    </row>
    <row r="885" spans="1:6" x14ac:dyDescent="0.3">
      <c r="A885" s="14">
        <v>884</v>
      </c>
      <c r="B885" s="14" t="s">
        <v>1240</v>
      </c>
      <c r="C885" s="14">
        <v>32</v>
      </c>
      <c r="D885" s="14" t="str">
        <f>IFERROR(INDEX(Teams!$B$2:$B$49,MATCH($C885,Teams!$A$2:$A$49,0)),"")</f>
        <v>Paraguay</v>
      </c>
      <c r="E885" s="14" t="s">
        <v>356</v>
      </c>
      <c r="F885" s="14">
        <v>26</v>
      </c>
    </row>
    <row r="886" spans="1:6" x14ac:dyDescent="0.3">
      <c r="A886" s="14">
        <v>885</v>
      </c>
      <c r="B886" s="14" t="s">
        <v>1241</v>
      </c>
      <c r="C886" s="14">
        <v>23</v>
      </c>
      <c r="D886" s="14" t="str">
        <f>IFERROR(INDEX(Teams!$B$2:$B$49,MATCH($C886,Teams!$A$2:$A$49,0)),"")</f>
        <v>Portugal</v>
      </c>
      <c r="E886" s="14" t="s">
        <v>354</v>
      </c>
      <c r="F886" s="14">
        <v>1</v>
      </c>
    </row>
    <row r="887" spans="1:6" x14ac:dyDescent="0.3">
      <c r="A887" s="14">
        <v>886</v>
      </c>
      <c r="B887" s="14" t="s">
        <v>1242</v>
      </c>
      <c r="C887" s="14">
        <v>23</v>
      </c>
      <c r="D887" s="14" t="str">
        <f>IFERROR(INDEX(Teams!$B$2:$B$49,MATCH($C887,Teams!$A$2:$A$49,0)),"")</f>
        <v>Portugal</v>
      </c>
      <c r="E887" s="14" t="s">
        <v>356</v>
      </c>
      <c r="F887" s="14">
        <v>2</v>
      </c>
    </row>
    <row r="888" spans="1:6" x14ac:dyDescent="0.3">
      <c r="A888" s="14">
        <v>887</v>
      </c>
      <c r="B888" s="14" t="s">
        <v>1243</v>
      </c>
      <c r="C888" s="14">
        <v>23</v>
      </c>
      <c r="D888" s="14" t="str">
        <f>IFERROR(INDEX(Teams!$B$2:$B$49,MATCH($C888,Teams!$A$2:$A$49,0)),"")</f>
        <v>Portugal</v>
      </c>
      <c r="E888" s="14" t="s">
        <v>356</v>
      </c>
      <c r="F888" s="14">
        <v>3</v>
      </c>
    </row>
    <row r="889" spans="1:6" x14ac:dyDescent="0.3">
      <c r="A889" s="14">
        <v>888</v>
      </c>
      <c r="B889" s="14" t="s">
        <v>1244</v>
      </c>
      <c r="C889" s="14">
        <v>23</v>
      </c>
      <c r="D889" s="14" t="str">
        <f>IFERROR(INDEX(Teams!$B$2:$B$49,MATCH($C889,Teams!$A$2:$A$49,0)),"")</f>
        <v>Portugal</v>
      </c>
      <c r="E889" s="14" t="s">
        <v>356</v>
      </c>
      <c r="F889" s="14">
        <v>4</v>
      </c>
    </row>
    <row r="890" spans="1:6" x14ac:dyDescent="0.3">
      <c r="A890" s="14">
        <v>889</v>
      </c>
      <c r="B890" s="14" t="s">
        <v>1245</v>
      </c>
      <c r="C890" s="14">
        <v>23</v>
      </c>
      <c r="D890" s="14" t="str">
        <f>IFERROR(INDEX(Teams!$B$2:$B$49,MATCH($C890,Teams!$A$2:$A$49,0)),"")</f>
        <v>Portugal</v>
      </c>
      <c r="E890" s="14" t="s">
        <v>356</v>
      </c>
      <c r="F890" s="14">
        <v>5</v>
      </c>
    </row>
    <row r="891" spans="1:6" x14ac:dyDescent="0.3">
      <c r="A891" s="14">
        <v>890</v>
      </c>
      <c r="B891" s="14" t="s">
        <v>1246</v>
      </c>
      <c r="C891" s="14">
        <v>23</v>
      </c>
      <c r="D891" s="14" t="str">
        <f>IFERROR(INDEX(Teams!$B$2:$B$49,MATCH($C891,Teams!$A$2:$A$49,0)),"")</f>
        <v>Portugal</v>
      </c>
      <c r="E891" s="14" t="s">
        <v>361</v>
      </c>
      <c r="F891" s="14">
        <v>6</v>
      </c>
    </row>
    <row r="892" spans="1:6" x14ac:dyDescent="0.3">
      <c r="A892" s="14">
        <v>891</v>
      </c>
      <c r="B892" s="14" t="s">
        <v>1247</v>
      </c>
      <c r="C892" s="14">
        <v>23</v>
      </c>
      <c r="D892" s="14" t="str">
        <f>IFERROR(INDEX(Teams!$B$2:$B$49,MATCH($C892,Teams!$A$2:$A$49,0)),"")</f>
        <v>Portugal</v>
      </c>
      <c r="E892" s="14" t="s">
        <v>363</v>
      </c>
      <c r="F892" s="14">
        <v>7</v>
      </c>
    </row>
    <row r="893" spans="1:6" x14ac:dyDescent="0.3">
      <c r="A893" s="14">
        <v>892</v>
      </c>
      <c r="B893" s="14" t="s">
        <v>1248</v>
      </c>
      <c r="C893" s="14">
        <v>23</v>
      </c>
      <c r="D893" s="14" t="str">
        <f>IFERROR(INDEX(Teams!$B$2:$B$49,MATCH($C893,Teams!$A$2:$A$49,0)),"")</f>
        <v>Portugal</v>
      </c>
      <c r="E893" s="14" t="s">
        <v>361</v>
      </c>
      <c r="F893" s="14">
        <v>8</v>
      </c>
    </row>
    <row r="894" spans="1:6" x14ac:dyDescent="0.3">
      <c r="A894" s="14">
        <v>893</v>
      </c>
      <c r="B894" s="14" t="s">
        <v>1249</v>
      </c>
      <c r="C894" s="14">
        <v>23</v>
      </c>
      <c r="D894" s="14" t="str">
        <f>IFERROR(INDEX(Teams!$B$2:$B$49,MATCH($C894,Teams!$A$2:$A$49,0)),"")</f>
        <v>Portugal</v>
      </c>
      <c r="E894" s="14" t="s">
        <v>363</v>
      </c>
      <c r="F894" s="14">
        <v>9</v>
      </c>
    </row>
    <row r="895" spans="1:6" x14ac:dyDescent="0.3">
      <c r="A895" s="14">
        <v>894</v>
      </c>
      <c r="B895" s="14" t="s">
        <v>1250</v>
      </c>
      <c r="C895" s="14">
        <v>23</v>
      </c>
      <c r="D895" s="14" t="str">
        <f>IFERROR(INDEX(Teams!$B$2:$B$49,MATCH($C895,Teams!$A$2:$A$49,0)),"")</f>
        <v>Portugal</v>
      </c>
      <c r="E895" s="14" t="s">
        <v>361</v>
      </c>
      <c r="F895" s="14">
        <v>10</v>
      </c>
    </row>
    <row r="896" spans="1:6" x14ac:dyDescent="0.3">
      <c r="A896" s="14">
        <v>895</v>
      </c>
      <c r="B896" s="14" t="s">
        <v>1251</v>
      </c>
      <c r="C896" s="14">
        <v>23</v>
      </c>
      <c r="D896" s="14" t="str">
        <f>IFERROR(INDEX(Teams!$B$2:$B$49,MATCH($C896,Teams!$A$2:$A$49,0)),"")</f>
        <v>Portugal</v>
      </c>
      <c r="E896" s="14" t="s">
        <v>363</v>
      </c>
      <c r="F896" s="14">
        <v>11</v>
      </c>
    </row>
    <row r="897" spans="1:6" x14ac:dyDescent="0.3">
      <c r="A897" s="14">
        <v>896</v>
      </c>
      <c r="B897" s="14" t="s">
        <v>1252</v>
      </c>
      <c r="C897" s="14">
        <v>23</v>
      </c>
      <c r="D897" s="14" t="str">
        <f>IFERROR(INDEX(Teams!$B$2:$B$49,MATCH($C897,Teams!$A$2:$A$49,0)),"")</f>
        <v>Portugal</v>
      </c>
      <c r="E897" s="14" t="s">
        <v>354</v>
      </c>
      <c r="F897" s="14">
        <v>12</v>
      </c>
    </row>
    <row r="898" spans="1:6" x14ac:dyDescent="0.3">
      <c r="A898" s="14">
        <v>897</v>
      </c>
      <c r="B898" s="14" t="s">
        <v>1253</v>
      </c>
      <c r="C898" s="14">
        <v>23</v>
      </c>
      <c r="D898" s="14" t="str">
        <f>IFERROR(INDEX(Teams!$B$2:$B$49,MATCH($C898,Teams!$A$2:$A$49,0)),"")</f>
        <v>Portugal</v>
      </c>
      <c r="E898" s="14" t="s">
        <v>356</v>
      </c>
      <c r="F898" s="14">
        <v>13</v>
      </c>
    </row>
    <row r="899" spans="1:6" x14ac:dyDescent="0.3">
      <c r="A899" s="14">
        <v>898</v>
      </c>
      <c r="B899" s="14" t="s">
        <v>1254</v>
      </c>
      <c r="C899" s="14">
        <v>23</v>
      </c>
      <c r="D899" s="14" t="str">
        <f>IFERROR(INDEX(Teams!$B$2:$B$49,MATCH($C899,Teams!$A$2:$A$49,0)),"")</f>
        <v>Portugal</v>
      </c>
      <c r="E899" s="14" t="s">
        <v>356</v>
      </c>
      <c r="F899" s="14">
        <v>14</v>
      </c>
    </row>
    <row r="900" spans="1:6" x14ac:dyDescent="0.3">
      <c r="A900" s="14">
        <v>899</v>
      </c>
      <c r="B900" s="14" t="s">
        <v>1255</v>
      </c>
      <c r="C900" s="14">
        <v>23</v>
      </c>
      <c r="D900" s="14" t="str">
        <f>IFERROR(INDEX(Teams!$B$2:$B$49,MATCH($C900,Teams!$A$2:$A$49,0)),"")</f>
        <v>Portugal</v>
      </c>
      <c r="E900" s="14" t="s">
        <v>361</v>
      </c>
      <c r="F900" s="14">
        <v>15</v>
      </c>
    </row>
    <row r="901" spans="1:6" x14ac:dyDescent="0.3">
      <c r="A901" s="14">
        <v>900</v>
      </c>
      <c r="B901" s="14" t="s">
        <v>1256</v>
      </c>
      <c r="C901" s="14">
        <v>23</v>
      </c>
      <c r="D901" s="14" t="str">
        <f>IFERROR(INDEX(Teams!$B$2:$B$49,MATCH($C901,Teams!$A$2:$A$49,0)),"")</f>
        <v>Portugal</v>
      </c>
      <c r="E901" s="14" t="s">
        <v>363</v>
      </c>
      <c r="F901" s="14">
        <v>16</v>
      </c>
    </row>
    <row r="902" spans="1:6" x14ac:dyDescent="0.3">
      <c r="A902" s="14">
        <v>901</v>
      </c>
      <c r="B902" s="14" t="s">
        <v>1257</v>
      </c>
      <c r="C902" s="14">
        <v>23</v>
      </c>
      <c r="D902" s="14" t="str">
        <f>IFERROR(INDEX(Teams!$B$2:$B$49,MATCH($C902,Teams!$A$2:$A$49,0)),"")</f>
        <v>Portugal</v>
      </c>
      <c r="E902" s="14" t="s">
        <v>363</v>
      </c>
      <c r="F902" s="14">
        <v>17</v>
      </c>
    </row>
    <row r="903" spans="1:6" x14ac:dyDescent="0.3">
      <c r="A903" s="14">
        <v>902</v>
      </c>
      <c r="B903" s="14" t="s">
        <v>1258</v>
      </c>
      <c r="C903" s="14">
        <v>23</v>
      </c>
      <c r="D903" s="14" t="str">
        <f>IFERROR(INDEX(Teams!$B$2:$B$49,MATCH($C903,Teams!$A$2:$A$49,0)),"")</f>
        <v>Portugal</v>
      </c>
      <c r="E903" s="14" t="s">
        <v>363</v>
      </c>
      <c r="F903" s="14">
        <v>18</v>
      </c>
    </row>
    <row r="904" spans="1:6" x14ac:dyDescent="0.3">
      <c r="A904" s="14">
        <v>903</v>
      </c>
      <c r="B904" s="14" t="s">
        <v>1259</v>
      </c>
      <c r="C904" s="14">
        <v>23</v>
      </c>
      <c r="D904" s="14" t="str">
        <f>IFERROR(INDEX(Teams!$B$2:$B$49,MATCH($C904,Teams!$A$2:$A$49,0)),"")</f>
        <v>Portugal</v>
      </c>
      <c r="E904" s="14" t="s">
        <v>363</v>
      </c>
      <c r="F904" s="14">
        <v>19</v>
      </c>
    </row>
    <row r="905" spans="1:6" x14ac:dyDescent="0.3">
      <c r="A905" s="14">
        <v>904</v>
      </c>
      <c r="B905" s="14" t="s">
        <v>1260</v>
      </c>
      <c r="C905" s="14">
        <v>23</v>
      </c>
      <c r="D905" s="14" t="str">
        <f>IFERROR(INDEX(Teams!$B$2:$B$49,MATCH($C905,Teams!$A$2:$A$49,0)),"")</f>
        <v>Portugal</v>
      </c>
      <c r="E905" s="14" t="s">
        <v>356</v>
      </c>
      <c r="F905" s="14">
        <v>20</v>
      </c>
    </row>
    <row r="906" spans="1:6" x14ac:dyDescent="0.3">
      <c r="A906" s="14">
        <v>905</v>
      </c>
      <c r="B906" s="14" t="s">
        <v>1261</v>
      </c>
      <c r="C906" s="14">
        <v>23</v>
      </c>
      <c r="D906" s="14" t="str">
        <f>IFERROR(INDEX(Teams!$B$2:$B$49,MATCH($C906,Teams!$A$2:$A$49,0)),"")</f>
        <v>Portugal</v>
      </c>
      <c r="E906" s="14" t="s">
        <v>361</v>
      </c>
      <c r="F906" s="14">
        <v>21</v>
      </c>
    </row>
    <row r="907" spans="1:6" x14ac:dyDescent="0.3">
      <c r="A907" s="14">
        <v>906</v>
      </c>
      <c r="B907" s="14" t="s">
        <v>1262</v>
      </c>
      <c r="C907" s="14">
        <v>23</v>
      </c>
      <c r="D907" s="14" t="str">
        <f>IFERROR(INDEX(Teams!$B$2:$B$49,MATCH($C907,Teams!$A$2:$A$49,0)),"")</f>
        <v>Portugal</v>
      </c>
      <c r="E907" s="14" t="s">
        <v>354</v>
      </c>
      <c r="F907" s="14">
        <v>22</v>
      </c>
    </row>
    <row r="908" spans="1:6" x14ac:dyDescent="0.3">
      <c r="A908" s="14">
        <v>907</v>
      </c>
      <c r="B908" s="14" t="s">
        <v>1263</v>
      </c>
      <c r="C908" s="14">
        <v>23</v>
      </c>
      <c r="D908" s="14" t="str">
        <f>IFERROR(INDEX(Teams!$B$2:$B$49,MATCH($C908,Teams!$A$2:$A$49,0)),"")</f>
        <v>Portugal</v>
      </c>
      <c r="E908" s="14" t="s">
        <v>361</v>
      </c>
      <c r="F908" s="14">
        <v>23</v>
      </c>
    </row>
    <row r="909" spans="1:6" x14ac:dyDescent="0.3">
      <c r="A909" s="14">
        <v>908</v>
      </c>
      <c r="B909" s="14" t="s">
        <v>1264</v>
      </c>
      <c r="C909" s="14">
        <v>23</v>
      </c>
      <c r="D909" s="14" t="str">
        <f>IFERROR(INDEX(Teams!$B$2:$B$49,MATCH($C909,Teams!$A$2:$A$49,0)),"")</f>
        <v>Portugal</v>
      </c>
      <c r="E909" s="14" t="s">
        <v>356</v>
      </c>
      <c r="F909" s="14">
        <v>24</v>
      </c>
    </row>
    <row r="910" spans="1:6" x14ac:dyDescent="0.3">
      <c r="A910" s="14">
        <v>909</v>
      </c>
      <c r="B910" s="14" t="s">
        <v>1265</v>
      </c>
      <c r="C910" s="14">
        <v>23</v>
      </c>
      <c r="D910" s="14" t="str">
        <f>IFERROR(INDEX(Teams!$B$2:$B$49,MATCH($C910,Teams!$A$2:$A$49,0)),"")</f>
        <v>Portugal</v>
      </c>
      <c r="E910" s="14" t="s">
        <v>356</v>
      </c>
      <c r="F910" s="14">
        <v>25</v>
      </c>
    </row>
    <row r="911" spans="1:6" x14ac:dyDescent="0.3">
      <c r="A911" s="14">
        <v>910</v>
      </c>
      <c r="B911" s="14" t="s">
        <v>1266</v>
      </c>
      <c r="C911" s="14">
        <v>23</v>
      </c>
      <c r="D911" s="14" t="str">
        <f>IFERROR(INDEX(Teams!$B$2:$B$49,MATCH($C911,Teams!$A$2:$A$49,0)),"")</f>
        <v>Portugal</v>
      </c>
      <c r="E911" s="14" t="s">
        <v>363</v>
      </c>
      <c r="F911" s="14">
        <v>26</v>
      </c>
    </row>
    <row r="912" spans="1:6" x14ac:dyDescent="0.3">
      <c r="A912" s="14">
        <v>911</v>
      </c>
      <c r="B912" s="14" t="s">
        <v>1267</v>
      </c>
      <c r="C912" s="14">
        <v>44</v>
      </c>
      <c r="D912" s="14" t="str">
        <f>IFERROR(INDEX(Teams!$B$2:$B$49,MATCH($C912,Teams!$A$2:$A$49,0)),"")</f>
        <v>Qatar</v>
      </c>
      <c r="E912" s="14" t="s">
        <v>354</v>
      </c>
      <c r="F912" s="14">
        <v>1</v>
      </c>
    </row>
    <row r="913" spans="1:6" x14ac:dyDescent="0.3">
      <c r="A913" s="14">
        <v>912</v>
      </c>
      <c r="B913" s="14" t="s">
        <v>1268</v>
      </c>
      <c r="C913" s="14">
        <v>44</v>
      </c>
      <c r="D913" s="14" t="str">
        <f>IFERROR(INDEX(Teams!$B$2:$B$49,MATCH($C913,Teams!$A$2:$A$49,0)),"")</f>
        <v>Qatar</v>
      </c>
      <c r="E913" s="14" t="s">
        <v>356</v>
      </c>
      <c r="F913" s="14">
        <v>2</v>
      </c>
    </row>
    <row r="914" spans="1:6" x14ac:dyDescent="0.3">
      <c r="A914" s="14">
        <v>913</v>
      </c>
      <c r="B914" s="14" t="s">
        <v>1269</v>
      </c>
      <c r="C914" s="14">
        <v>44</v>
      </c>
      <c r="D914" s="14" t="str">
        <f>IFERROR(INDEX(Teams!$B$2:$B$49,MATCH($C914,Teams!$A$2:$A$49,0)),"")</f>
        <v>Qatar</v>
      </c>
      <c r="E914" s="14" t="s">
        <v>356</v>
      </c>
      <c r="F914" s="14">
        <v>3</v>
      </c>
    </row>
    <row r="915" spans="1:6" x14ac:dyDescent="0.3">
      <c r="A915" s="14">
        <v>914</v>
      </c>
      <c r="B915" s="14" t="s">
        <v>1270</v>
      </c>
      <c r="C915" s="14">
        <v>44</v>
      </c>
      <c r="D915" s="14" t="str">
        <f>IFERROR(INDEX(Teams!$B$2:$B$49,MATCH($C915,Teams!$A$2:$A$49,0)),"")</f>
        <v>Qatar</v>
      </c>
      <c r="E915" s="14" t="s">
        <v>356</v>
      </c>
      <c r="F915" s="14">
        <v>4</v>
      </c>
    </row>
    <row r="916" spans="1:6" x14ac:dyDescent="0.3">
      <c r="A916" s="14">
        <v>915</v>
      </c>
      <c r="B916" s="14" t="s">
        <v>1271</v>
      </c>
      <c r="C916" s="14">
        <v>44</v>
      </c>
      <c r="D916" s="14" t="str">
        <f>IFERROR(INDEX(Teams!$B$2:$B$49,MATCH($C916,Teams!$A$2:$A$49,0)),"")</f>
        <v>Qatar</v>
      </c>
      <c r="E916" s="14" t="s">
        <v>356</v>
      </c>
      <c r="F916" s="14">
        <v>5</v>
      </c>
    </row>
    <row r="917" spans="1:6" x14ac:dyDescent="0.3">
      <c r="A917" s="14">
        <v>916</v>
      </c>
      <c r="B917" s="14" t="s">
        <v>1272</v>
      </c>
      <c r="C917" s="14">
        <v>44</v>
      </c>
      <c r="D917" s="14" t="str">
        <f>IFERROR(INDEX(Teams!$B$2:$B$49,MATCH($C917,Teams!$A$2:$A$49,0)),"")</f>
        <v>Qatar</v>
      </c>
      <c r="E917" s="14" t="s">
        <v>361</v>
      </c>
      <c r="F917" s="14">
        <v>6</v>
      </c>
    </row>
    <row r="918" spans="1:6" x14ac:dyDescent="0.3">
      <c r="A918" s="14">
        <v>917</v>
      </c>
      <c r="B918" s="14" t="s">
        <v>1273</v>
      </c>
      <c r="C918" s="14">
        <v>44</v>
      </c>
      <c r="D918" s="14" t="str">
        <f>IFERROR(INDEX(Teams!$B$2:$B$49,MATCH($C918,Teams!$A$2:$A$49,0)),"")</f>
        <v>Qatar</v>
      </c>
      <c r="E918" s="14" t="s">
        <v>363</v>
      </c>
      <c r="F918" s="14">
        <v>7</v>
      </c>
    </row>
    <row r="919" spans="1:6" x14ac:dyDescent="0.3">
      <c r="A919" s="14">
        <v>918</v>
      </c>
      <c r="B919" s="14" t="s">
        <v>1274</v>
      </c>
      <c r="C919" s="14">
        <v>44</v>
      </c>
      <c r="D919" s="14" t="str">
        <f>IFERROR(INDEX(Teams!$B$2:$B$49,MATCH($C919,Teams!$A$2:$A$49,0)),"")</f>
        <v>Qatar</v>
      </c>
      <c r="E919" s="14" t="s">
        <v>363</v>
      </c>
      <c r="F919" s="14">
        <v>8</v>
      </c>
    </row>
    <row r="920" spans="1:6" x14ac:dyDescent="0.3">
      <c r="A920" s="14">
        <v>919</v>
      </c>
      <c r="B920" s="14" t="s">
        <v>1275</v>
      </c>
      <c r="C920" s="14">
        <v>44</v>
      </c>
      <c r="D920" s="14" t="str">
        <f>IFERROR(INDEX(Teams!$B$2:$B$49,MATCH($C920,Teams!$A$2:$A$49,0)),"")</f>
        <v>Qatar</v>
      </c>
      <c r="E920" s="14" t="s">
        <v>363</v>
      </c>
      <c r="F920" s="14">
        <v>9</v>
      </c>
    </row>
    <row r="921" spans="1:6" x14ac:dyDescent="0.3">
      <c r="A921" s="14">
        <v>920</v>
      </c>
      <c r="B921" s="14" t="s">
        <v>1276</v>
      </c>
      <c r="C921" s="14">
        <v>44</v>
      </c>
      <c r="D921" s="14" t="str">
        <f>IFERROR(INDEX(Teams!$B$2:$B$49,MATCH($C921,Teams!$A$2:$A$49,0)),"")</f>
        <v>Qatar</v>
      </c>
      <c r="E921" s="14" t="s">
        <v>363</v>
      </c>
      <c r="F921" s="14">
        <v>10</v>
      </c>
    </row>
    <row r="922" spans="1:6" x14ac:dyDescent="0.3">
      <c r="A922" s="14">
        <v>921</v>
      </c>
      <c r="B922" s="14" t="s">
        <v>1277</v>
      </c>
      <c r="C922" s="14">
        <v>44</v>
      </c>
      <c r="D922" s="14" t="str">
        <f>IFERROR(INDEX(Teams!$B$2:$B$49,MATCH($C922,Teams!$A$2:$A$49,0)),"")</f>
        <v>Qatar</v>
      </c>
      <c r="E922" s="14" t="s">
        <v>363</v>
      </c>
      <c r="F922" s="14">
        <v>11</v>
      </c>
    </row>
    <row r="923" spans="1:6" x14ac:dyDescent="0.3">
      <c r="A923" s="14">
        <v>922</v>
      </c>
      <c r="B923" s="14" t="s">
        <v>1278</v>
      </c>
      <c r="C923" s="14">
        <v>44</v>
      </c>
      <c r="D923" s="14" t="str">
        <f>IFERROR(INDEX(Teams!$B$2:$B$49,MATCH($C923,Teams!$A$2:$A$49,0)),"")</f>
        <v>Qatar</v>
      </c>
      <c r="E923" s="14" t="s">
        <v>361</v>
      </c>
      <c r="F923" s="14">
        <v>12</v>
      </c>
    </row>
    <row r="924" spans="1:6" x14ac:dyDescent="0.3">
      <c r="A924" s="14">
        <v>923</v>
      </c>
      <c r="B924" s="14" t="s">
        <v>1279</v>
      </c>
      <c r="C924" s="14">
        <v>44</v>
      </c>
      <c r="D924" s="14" t="str">
        <f>IFERROR(INDEX(Teams!$B$2:$B$49,MATCH($C924,Teams!$A$2:$A$49,0)),"")</f>
        <v>Qatar</v>
      </c>
      <c r="E924" s="14" t="s">
        <v>356</v>
      </c>
      <c r="F924" s="14">
        <v>13</v>
      </c>
    </row>
    <row r="925" spans="1:6" x14ac:dyDescent="0.3">
      <c r="A925" s="14">
        <v>924</v>
      </c>
      <c r="B925" s="14" t="s">
        <v>1280</v>
      </c>
      <c r="C925" s="14">
        <v>44</v>
      </c>
      <c r="D925" s="14" t="str">
        <f>IFERROR(INDEX(Teams!$B$2:$B$49,MATCH($C925,Teams!$A$2:$A$49,0)),"")</f>
        <v>Qatar</v>
      </c>
      <c r="E925" s="14" t="s">
        <v>356</v>
      </c>
      <c r="F925" s="14">
        <v>14</v>
      </c>
    </row>
    <row r="926" spans="1:6" x14ac:dyDescent="0.3">
      <c r="A926" s="14">
        <v>925</v>
      </c>
      <c r="B926" s="14" t="s">
        <v>1281</v>
      </c>
      <c r="C926" s="14">
        <v>44</v>
      </c>
      <c r="D926" s="14" t="str">
        <f>IFERROR(INDEX(Teams!$B$2:$B$49,MATCH($C926,Teams!$A$2:$A$49,0)),"")</f>
        <v>Qatar</v>
      </c>
      <c r="E926" s="14" t="s">
        <v>363</v>
      </c>
      <c r="F926" s="14">
        <v>15</v>
      </c>
    </row>
    <row r="927" spans="1:6" x14ac:dyDescent="0.3">
      <c r="A927" s="14">
        <v>926</v>
      </c>
      <c r="B927" s="14" t="s">
        <v>1282</v>
      </c>
      <c r="C927" s="14">
        <v>44</v>
      </c>
      <c r="D927" s="14" t="str">
        <f>IFERROR(INDEX(Teams!$B$2:$B$49,MATCH($C927,Teams!$A$2:$A$49,0)),"")</f>
        <v>Qatar</v>
      </c>
      <c r="E927" s="14" t="s">
        <v>356</v>
      </c>
      <c r="F927" s="14">
        <v>16</v>
      </c>
    </row>
    <row r="928" spans="1:6" x14ac:dyDescent="0.3">
      <c r="A928" s="14">
        <v>927</v>
      </c>
      <c r="B928" s="14" t="s">
        <v>1283</v>
      </c>
      <c r="C928" s="14">
        <v>44</v>
      </c>
      <c r="D928" s="14" t="str">
        <f>IFERROR(INDEX(Teams!$B$2:$B$49,MATCH($C928,Teams!$A$2:$A$49,0)),"")</f>
        <v>Qatar</v>
      </c>
      <c r="E928" s="14" t="s">
        <v>361</v>
      </c>
      <c r="F928" s="14">
        <v>17</v>
      </c>
    </row>
    <row r="929" spans="1:6" x14ac:dyDescent="0.3">
      <c r="A929" s="14">
        <v>928</v>
      </c>
      <c r="B929" s="14" t="s">
        <v>1284</v>
      </c>
      <c r="C929" s="14">
        <v>44</v>
      </c>
      <c r="D929" s="14" t="str">
        <f>IFERROR(INDEX(Teams!$B$2:$B$49,MATCH($C929,Teams!$A$2:$A$49,0)),"")</f>
        <v>Qatar</v>
      </c>
      <c r="E929" s="14" t="s">
        <v>356</v>
      </c>
      <c r="F929" s="14">
        <v>18</v>
      </c>
    </row>
    <row r="930" spans="1:6" x14ac:dyDescent="0.3">
      <c r="A930" s="14">
        <v>929</v>
      </c>
      <c r="B930" s="14" t="s">
        <v>1285</v>
      </c>
      <c r="C930" s="14">
        <v>44</v>
      </c>
      <c r="D930" s="14" t="str">
        <f>IFERROR(INDEX(Teams!$B$2:$B$49,MATCH($C930,Teams!$A$2:$A$49,0)),"")</f>
        <v>Qatar</v>
      </c>
      <c r="E930" s="14" t="s">
        <v>363</v>
      </c>
      <c r="F930" s="14">
        <v>19</v>
      </c>
    </row>
    <row r="931" spans="1:6" x14ac:dyDescent="0.3">
      <c r="A931" s="14">
        <v>930</v>
      </c>
      <c r="B931" s="14" t="s">
        <v>1286</v>
      </c>
      <c r="C931" s="14">
        <v>44</v>
      </c>
      <c r="D931" s="14" t="str">
        <f>IFERROR(INDEX(Teams!$B$2:$B$49,MATCH($C931,Teams!$A$2:$A$49,0)),"")</f>
        <v>Qatar</v>
      </c>
      <c r="E931" s="14" t="s">
        <v>361</v>
      </c>
      <c r="F931" s="14">
        <v>20</v>
      </c>
    </row>
    <row r="932" spans="1:6" x14ac:dyDescent="0.3">
      <c r="A932" s="14">
        <v>931</v>
      </c>
      <c r="B932" s="14" t="s">
        <v>1287</v>
      </c>
      <c r="C932" s="14">
        <v>44</v>
      </c>
      <c r="D932" s="14" t="str">
        <f>IFERROR(INDEX(Teams!$B$2:$B$49,MATCH($C932,Teams!$A$2:$A$49,0)),"")</f>
        <v>Qatar</v>
      </c>
      <c r="E932" s="14" t="s">
        <v>354</v>
      </c>
      <c r="F932" s="14">
        <v>21</v>
      </c>
    </row>
    <row r="933" spans="1:6" x14ac:dyDescent="0.3">
      <c r="A933" s="14">
        <v>932</v>
      </c>
      <c r="B933" s="14" t="s">
        <v>1288</v>
      </c>
      <c r="C933" s="14">
        <v>44</v>
      </c>
      <c r="D933" s="14" t="str">
        <f>IFERROR(INDEX(Teams!$B$2:$B$49,MATCH($C933,Teams!$A$2:$A$49,0)),"")</f>
        <v>Qatar</v>
      </c>
      <c r="E933" s="14" t="s">
        <v>354</v>
      </c>
      <c r="F933" s="14">
        <v>22</v>
      </c>
    </row>
    <row r="934" spans="1:6" x14ac:dyDescent="0.3">
      <c r="A934" s="14">
        <v>933</v>
      </c>
      <c r="B934" s="14" t="s">
        <v>1289</v>
      </c>
      <c r="C934" s="14">
        <v>44</v>
      </c>
      <c r="D934" s="14" t="str">
        <f>IFERROR(INDEX(Teams!$B$2:$B$49,MATCH($C934,Teams!$A$2:$A$49,0)),"")</f>
        <v>Qatar</v>
      </c>
      <c r="E934" s="14" t="s">
        <v>361</v>
      </c>
      <c r="F934" s="14">
        <v>23</v>
      </c>
    </row>
    <row r="935" spans="1:6" x14ac:dyDescent="0.3">
      <c r="A935" s="14">
        <v>934</v>
      </c>
      <c r="B935" s="14" t="s">
        <v>1290</v>
      </c>
      <c r="C935" s="14">
        <v>44</v>
      </c>
      <c r="D935" s="14" t="str">
        <f>IFERROR(INDEX(Teams!$B$2:$B$49,MATCH($C935,Teams!$A$2:$A$49,0)),"")</f>
        <v>Qatar</v>
      </c>
      <c r="E935" s="14" t="s">
        <v>363</v>
      </c>
      <c r="F935" s="14">
        <v>24</v>
      </c>
    </row>
    <row r="936" spans="1:6" x14ac:dyDescent="0.3">
      <c r="A936" s="14">
        <v>935</v>
      </c>
      <c r="B936" s="14" t="s">
        <v>1291</v>
      </c>
      <c r="C936" s="14">
        <v>44</v>
      </c>
      <c r="D936" s="14" t="str">
        <f>IFERROR(INDEX(Teams!$B$2:$B$49,MATCH($C936,Teams!$A$2:$A$49,0)),"")</f>
        <v>Qatar</v>
      </c>
      <c r="E936" s="14" t="s">
        <v>356</v>
      </c>
      <c r="F936" s="14">
        <v>25</v>
      </c>
    </row>
    <row r="937" spans="1:6" x14ac:dyDescent="0.3">
      <c r="A937" s="14">
        <v>936</v>
      </c>
      <c r="B937" s="14" t="s">
        <v>1292</v>
      </c>
      <c r="C937" s="14">
        <v>44</v>
      </c>
      <c r="D937" s="14" t="str">
        <f>IFERROR(INDEX(Teams!$B$2:$B$49,MATCH($C937,Teams!$A$2:$A$49,0)),"")</f>
        <v>Qatar</v>
      </c>
      <c r="E937" s="14" t="s">
        <v>363</v>
      </c>
      <c r="F937" s="14">
        <v>26</v>
      </c>
    </row>
    <row r="938" spans="1:6" x14ac:dyDescent="0.3">
      <c r="A938" s="14">
        <v>937</v>
      </c>
      <c r="B938" s="14" t="s">
        <v>1293</v>
      </c>
      <c r="C938" s="14">
        <v>45</v>
      </c>
      <c r="D938" s="14" t="str">
        <f>IFERROR(INDEX(Teams!$B$2:$B$49,MATCH($C938,Teams!$A$2:$A$49,0)),"")</f>
        <v>Saudi Arabia</v>
      </c>
      <c r="E938" s="14" t="s">
        <v>354</v>
      </c>
      <c r="F938" s="14">
        <v>1</v>
      </c>
    </row>
    <row r="939" spans="1:6" x14ac:dyDescent="0.3">
      <c r="A939" s="14">
        <v>938</v>
      </c>
      <c r="B939" s="14" t="s">
        <v>1294</v>
      </c>
      <c r="C939" s="14">
        <v>45</v>
      </c>
      <c r="D939" s="14" t="str">
        <f>IFERROR(INDEX(Teams!$B$2:$B$49,MATCH($C939,Teams!$A$2:$A$49,0)),"")</f>
        <v>Saudi Arabia</v>
      </c>
      <c r="E939" s="14" t="s">
        <v>356</v>
      </c>
      <c r="F939" s="14">
        <v>2</v>
      </c>
    </row>
    <row r="940" spans="1:6" x14ac:dyDescent="0.3">
      <c r="A940" s="14">
        <v>939</v>
      </c>
      <c r="B940" s="14" t="s">
        <v>1295</v>
      </c>
      <c r="C940" s="14">
        <v>45</v>
      </c>
      <c r="D940" s="14" t="str">
        <f>IFERROR(INDEX(Teams!$B$2:$B$49,MATCH($C940,Teams!$A$2:$A$49,0)),"")</f>
        <v>Saudi Arabia</v>
      </c>
      <c r="E940" s="14" t="s">
        <v>356</v>
      </c>
      <c r="F940" s="14">
        <v>3</v>
      </c>
    </row>
    <row r="941" spans="1:6" x14ac:dyDescent="0.3">
      <c r="A941" s="14">
        <v>940</v>
      </c>
      <c r="B941" s="14" t="s">
        <v>1296</v>
      </c>
      <c r="C941" s="14">
        <v>45</v>
      </c>
      <c r="D941" s="14" t="str">
        <f>IFERROR(INDEX(Teams!$B$2:$B$49,MATCH($C941,Teams!$A$2:$A$49,0)),"")</f>
        <v>Saudi Arabia</v>
      </c>
      <c r="E941" s="14" t="s">
        <v>356</v>
      </c>
      <c r="F941" s="14">
        <v>4</v>
      </c>
    </row>
    <row r="942" spans="1:6" x14ac:dyDescent="0.3">
      <c r="A942" s="14">
        <v>941</v>
      </c>
      <c r="B942" s="14" t="s">
        <v>1297</v>
      </c>
      <c r="C942" s="14">
        <v>45</v>
      </c>
      <c r="D942" s="14" t="str">
        <f>IFERROR(INDEX(Teams!$B$2:$B$49,MATCH($C942,Teams!$A$2:$A$49,0)),"")</f>
        <v>Saudi Arabia</v>
      </c>
      <c r="E942" s="14" t="s">
        <v>356</v>
      </c>
      <c r="F942" s="14">
        <v>5</v>
      </c>
    </row>
    <row r="943" spans="1:6" x14ac:dyDescent="0.3">
      <c r="A943" s="14">
        <v>942</v>
      </c>
      <c r="B943" s="14" t="s">
        <v>1298</v>
      </c>
      <c r="C943" s="14">
        <v>45</v>
      </c>
      <c r="D943" s="14" t="str">
        <f>IFERROR(INDEX(Teams!$B$2:$B$49,MATCH($C943,Teams!$A$2:$A$49,0)),"")</f>
        <v>Saudi Arabia</v>
      </c>
      <c r="E943" s="14" t="s">
        <v>361</v>
      </c>
      <c r="F943" s="14">
        <v>6</v>
      </c>
    </row>
    <row r="944" spans="1:6" x14ac:dyDescent="0.3">
      <c r="A944" s="14">
        <v>943</v>
      </c>
      <c r="B944" s="14" t="s">
        <v>1299</v>
      </c>
      <c r="C944" s="14">
        <v>45</v>
      </c>
      <c r="D944" s="14" t="str">
        <f>IFERROR(INDEX(Teams!$B$2:$B$49,MATCH($C944,Teams!$A$2:$A$49,0)),"")</f>
        <v>Saudi Arabia</v>
      </c>
      <c r="E944" s="14" t="s">
        <v>361</v>
      </c>
      <c r="F944" s="14">
        <v>7</v>
      </c>
    </row>
    <row r="945" spans="1:6" x14ac:dyDescent="0.3">
      <c r="A945" s="14">
        <v>944</v>
      </c>
      <c r="B945" s="14" t="s">
        <v>1300</v>
      </c>
      <c r="C945" s="14">
        <v>45</v>
      </c>
      <c r="D945" s="14" t="str">
        <f>IFERROR(INDEX(Teams!$B$2:$B$49,MATCH($C945,Teams!$A$2:$A$49,0)),"")</f>
        <v>Saudi Arabia</v>
      </c>
      <c r="E945" s="14" t="s">
        <v>363</v>
      </c>
      <c r="F945" s="14">
        <v>8</v>
      </c>
    </row>
    <row r="946" spans="1:6" x14ac:dyDescent="0.3">
      <c r="A946" s="14">
        <v>945</v>
      </c>
      <c r="B946" s="14" t="s">
        <v>1301</v>
      </c>
      <c r="C946" s="14">
        <v>45</v>
      </c>
      <c r="D946" s="14" t="str">
        <f>IFERROR(INDEX(Teams!$B$2:$B$49,MATCH($C946,Teams!$A$2:$A$49,0)),"")</f>
        <v>Saudi Arabia</v>
      </c>
      <c r="E946" s="14" t="s">
        <v>363</v>
      </c>
      <c r="F946" s="14">
        <v>9</v>
      </c>
    </row>
    <row r="947" spans="1:6" x14ac:dyDescent="0.3">
      <c r="A947" s="14">
        <v>946</v>
      </c>
      <c r="B947" s="14" t="s">
        <v>1302</v>
      </c>
      <c r="C947" s="14">
        <v>45</v>
      </c>
      <c r="D947" s="14" t="str">
        <f>IFERROR(INDEX(Teams!$B$2:$B$49,MATCH($C947,Teams!$A$2:$A$49,0)),"")</f>
        <v>Saudi Arabia</v>
      </c>
      <c r="E947" s="14" t="s">
        <v>363</v>
      </c>
      <c r="F947" s="14">
        <v>10</v>
      </c>
    </row>
    <row r="948" spans="1:6" x14ac:dyDescent="0.3">
      <c r="A948" s="14">
        <v>947</v>
      </c>
      <c r="B948" s="14" t="s">
        <v>1303</v>
      </c>
      <c r="C948" s="14">
        <v>45</v>
      </c>
      <c r="D948" s="14" t="str">
        <f>IFERROR(INDEX(Teams!$B$2:$B$49,MATCH($C948,Teams!$A$2:$A$49,0)),"")</f>
        <v>Saudi Arabia</v>
      </c>
      <c r="E948" s="14" t="s">
        <v>363</v>
      </c>
      <c r="F948" s="14">
        <v>11</v>
      </c>
    </row>
    <row r="949" spans="1:6" x14ac:dyDescent="0.3">
      <c r="A949" s="14">
        <v>948</v>
      </c>
      <c r="B949" s="14" t="s">
        <v>1304</v>
      </c>
      <c r="C949" s="14">
        <v>45</v>
      </c>
      <c r="D949" s="14" t="str">
        <f>IFERROR(INDEX(Teams!$B$2:$B$49,MATCH($C949,Teams!$A$2:$A$49,0)),"")</f>
        <v>Saudi Arabia</v>
      </c>
      <c r="E949" s="14" t="s">
        <v>356</v>
      </c>
      <c r="F949" s="14">
        <v>12</v>
      </c>
    </row>
    <row r="950" spans="1:6" x14ac:dyDescent="0.3">
      <c r="A950" s="14">
        <v>949</v>
      </c>
      <c r="B950" s="14" t="s">
        <v>1305</v>
      </c>
      <c r="C950" s="14">
        <v>45</v>
      </c>
      <c r="D950" s="14" t="str">
        <f>IFERROR(INDEX(Teams!$B$2:$B$49,MATCH($C950,Teams!$A$2:$A$49,0)),"")</f>
        <v>Saudi Arabia</v>
      </c>
      <c r="E950" s="14" t="s">
        <v>356</v>
      </c>
      <c r="F950" s="14">
        <v>13</v>
      </c>
    </row>
    <row r="951" spans="1:6" x14ac:dyDescent="0.3">
      <c r="A951" s="14">
        <v>950</v>
      </c>
      <c r="B951" s="14" t="s">
        <v>1306</v>
      </c>
      <c r="C951" s="14">
        <v>45</v>
      </c>
      <c r="D951" s="14" t="str">
        <f>IFERROR(INDEX(Teams!$B$2:$B$49,MATCH($C951,Teams!$A$2:$A$49,0)),"")</f>
        <v>Saudi Arabia</v>
      </c>
      <c r="E951" s="14" t="s">
        <v>356</v>
      </c>
      <c r="F951" s="14">
        <v>14</v>
      </c>
    </row>
    <row r="952" spans="1:6" x14ac:dyDescent="0.3">
      <c r="A952" s="14">
        <v>951</v>
      </c>
      <c r="B952" s="14" t="s">
        <v>1307</v>
      </c>
      <c r="C952" s="14">
        <v>45</v>
      </c>
      <c r="D952" s="14" t="str">
        <f>IFERROR(INDEX(Teams!$B$2:$B$49,MATCH($C952,Teams!$A$2:$A$49,0)),"")</f>
        <v>Saudi Arabia</v>
      </c>
      <c r="E952" s="14" t="s">
        <v>361</v>
      </c>
      <c r="F952" s="14">
        <v>15</v>
      </c>
    </row>
    <row r="953" spans="1:6" x14ac:dyDescent="0.3">
      <c r="A953" s="14">
        <v>952</v>
      </c>
      <c r="B953" s="14" t="s">
        <v>1308</v>
      </c>
      <c r="C953" s="14">
        <v>45</v>
      </c>
      <c r="D953" s="14" t="str">
        <f>IFERROR(INDEX(Teams!$B$2:$B$49,MATCH($C953,Teams!$A$2:$A$49,0)),"")</f>
        <v>Saudi Arabia</v>
      </c>
      <c r="E953" s="14" t="s">
        <v>361</v>
      </c>
      <c r="F953" s="14">
        <v>16</v>
      </c>
    </row>
    <row r="954" spans="1:6" x14ac:dyDescent="0.3">
      <c r="A954" s="14">
        <v>953</v>
      </c>
      <c r="B954" s="14" t="s">
        <v>1309</v>
      </c>
      <c r="C954" s="14">
        <v>45</v>
      </c>
      <c r="D954" s="14" t="str">
        <f>IFERROR(INDEX(Teams!$B$2:$B$49,MATCH($C954,Teams!$A$2:$A$49,0)),"")</f>
        <v>Saudi Arabia</v>
      </c>
      <c r="E954" s="14" t="s">
        <v>363</v>
      </c>
      <c r="F954" s="14">
        <v>17</v>
      </c>
    </row>
    <row r="955" spans="1:6" x14ac:dyDescent="0.3">
      <c r="A955" s="14">
        <v>954</v>
      </c>
      <c r="B955" s="14" t="s">
        <v>1310</v>
      </c>
      <c r="C955" s="14">
        <v>45</v>
      </c>
      <c r="D955" s="14" t="str">
        <f>IFERROR(INDEX(Teams!$B$2:$B$49,MATCH($C955,Teams!$A$2:$A$49,0)),"")</f>
        <v>Saudi Arabia</v>
      </c>
      <c r="E955" s="14" t="s">
        <v>361</v>
      </c>
      <c r="F955" s="14">
        <v>18</v>
      </c>
    </row>
    <row r="956" spans="1:6" x14ac:dyDescent="0.3">
      <c r="A956" s="14">
        <v>955</v>
      </c>
      <c r="B956" s="14" t="s">
        <v>1311</v>
      </c>
      <c r="C956" s="14">
        <v>45</v>
      </c>
      <c r="D956" s="14" t="str">
        <f>IFERROR(INDEX(Teams!$B$2:$B$49,MATCH($C956,Teams!$A$2:$A$49,0)),"")</f>
        <v>Saudi Arabia</v>
      </c>
      <c r="E956" s="14" t="s">
        <v>363</v>
      </c>
      <c r="F956" s="14">
        <v>19</v>
      </c>
    </row>
    <row r="957" spans="1:6" x14ac:dyDescent="0.3">
      <c r="A957" s="14">
        <v>956</v>
      </c>
      <c r="B957" s="14" t="s">
        <v>1312</v>
      </c>
      <c r="C957" s="14">
        <v>45</v>
      </c>
      <c r="D957" s="14" t="str">
        <f>IFERROR(INDEX(Teams!$B$2:$B$49,MATCH($C957,Teams!$A$2:$A$49,0)),"")</f>
        <v>Saudi Arabia</v>
      </c>
      <c r="E957" s="14" t="s">
        <v>363</v>
      </c>
      <c r="F957" s="14">
        <v>20</v>
      </c>
    </row>
    <row r="958" spans="1:6" x14ac:dyDescent="0.3">
      <c r="A958" s="14">
        <v>957</v>
      </c>
      <c r="B958" s="14" t="s">
        <v>1313</v>
      </c>
      <c r="C958" s="14">
        <v>45</v>
      </c>
      <c r="D958" s="14" t="str">
        <f>IFERROR(INDEX(Teams!$B$2:$B$49,MATCH($C958,Teams!$A$2:$A$49,0)),"")</f>
        <v>Saudi Arabia</v>
      </c>
      <c r="E958" s="14" t="s">
        <v>354</v>
      </c>
      <c r="F958" s="14">
        <v>21</v>
      </c>
    </row>
    <row r="959" spans="1:6" x14ac:dyDescent="0.3">
      <c r="A959" s="14">
        <v>958</v>
      </c>
      <c r="B959" s="14" t="s">
        <v>1314</v>
      </c>
      <c r="C959" s="14">
        <v>45</v>
      </c>
      <c r="D959" s="14" t="str">
        <f>IFERROR(INDEX(Teams!$B$2:$B$49,MATCH($C959,Teams!$A$2:$A$49,0)),"")</f>
        <v>Saudi Arabia</v>
      </c>
      <c r="E959" s="14" t="s">
        <v>354</v>
      </c>
      <c r="F959" s="14">
        <v>22</v>
      </c>
    </row>
    <row r="960" spans="1:6" x14ac:dyDescent="0.3">
      <c r="A960" s="14">
        <v>959</v>
      </c>
      <c r="B960" s="14" t="s">
        <v>1315</v>
      </c>
      <c r="C960" s="14">
        <v>45</v>
      </c>
      <c r="D960" s="14" t="str">
        <f>IFERROR(INDEX(Teams!$B$2:$B$49,MATCH($C960,Teams!$A$2:$A$49,0)),"")</f>
        <v>Saudi Arabia</v>
      </c>
      <c r="E960" s="14" t="s">
        <v>361</v>
      </c>
      <c r="F960" s="14">
        <v>23</v>
      </c>
    </row>
    <row r="961" spans="1:6" x14ac:dyDescent="0.3">
      <c r="A961" s="14">
        <v>960</v>
      </c>
      <c r="B961" s="14" t="s">
        <v>1316</v>
      </c>
      <c r="C961" s="14">
        <v>45</v>
      </c>
      <c r="D961" s="14" t="str">
        <f>IFERROR(INDEX(Teams!$B$2:$B$49,MATCH($C961,Teams!$A$2:$A$49,0)),"")</f>
        <v>Saudi Arabia</v>
      </c>
      <c r="E961" s="14" t="s">
        <v>356</v>
      </c>
      <c r="F961" s="14">
        <v>24</v>
      </c>
    </row>
    <row r="962" spans="1:6" x14ac:dyDescent="0.3">
      <c r="A962" s="14">
        <v>961</v>
      </c>
      <c r="B962" s="14" t="s">
        <v>1317</v>
      </c>
      <c r="C962" s="14">
        <v>45</v>
      </c>
      <c r="D962" s="14" t="str">
        <f>IFERROR(INDEX(Teams!$B$2:$B$49,MATCH($C962,Teams!$A$2:$A$49,0)),"")</f>
        <v>Saudi Arabia</v>
      </c>
      <c r="E962" s="14" t="s">
        <v>356</v>
      </c>
      <c r="F962" s="14">
        <v>25</v>
      </c>
    </row>
    <row r="963" spans="1:6" x14ac:dyDescent="0.3">
      <c r="A963" s="14">
        <v>962</v>
      </c>
      <c r="B963" s="14" t="s">
        <v>1318</v>
      </c>
      <c r="C963" s="14">
        <v>45</v>
      </c>
      <c r="D963" s="14" t="str">
        <f>IFERROR(INDEX(Teams!$B$2:$B$49,MATCH($C963,Teams!$A$2:$A$49,0)),"")</f>
        <v>Saudi Arabia</v>
      </c>
      <c r="E963" s="14" t="s">
        <v>356</v>
      </c>
      <c r="F963" s="14">
        <v>26</v>
      </c>
    </row>
    <row r="964" spans="1:6" x14ac:dyDescent="0.3">
      <c r="A964" s="14">
        <v>963</v>
      </c>
      <c r="B964" s="14" t="s">
        <v>1319</v>
      </c>
      <c r="C964" s="14">
        <v>33</v>
      </c>
      <c r="D964" s="14" t="str">
        <f>IFERROR(INDEX(Teams!$B$2:$B$49,MATCH($C964,Teams!$A$2:$A$49,0)),"")</f>
        <v>Scotland</v>
      </c>
      <c r="E964" s="14" t="s">
        <v>354</v>
      </c>
      <c r="F964" s="14">
        <v>1</v>
      </c>
    </row>
    <row r="965" spans="1:6" x14ac:dyDescent="0.3">
      <c r="A965" s="14">
        <v>964</v>
      </c>
      <c r="B965" s="14" t="s">
        <v>1320</v>
      </c>
      <c r="C965" s="14">
        <v>33</v>
      </c>
      <c r="D965" s="14" t="str">
        <f>IFERROR(INDEX(Teams!$B$2:$B$49,MATCH($C965,Teams!$A$2:$A$49,0)),"")</f>
        <v>Scotland</v>
      </c>
      <c r="E965" s="14" t="s">
        <v>356</v>
      </c>
      <c r="F965" s="14">
        <v>2</v>
      </c>
    </row>
    <row r="966" spans="1:6" x14ac:dyDescent="0.3">
      <c r="A966" s="14">
        <v>965</v>
      </c>
      <c r="B966" s="14" t="s">
        <v>1321</v>
      </c>
      <c r="C966" s="14">
        <v>33</v>
      </c>
      <c r="D966" s="14" t="str">
        <f>IFERROR(INDEX(Teams!$B$2:$B$49,MATCH($C966,Teams!$A$2:$A$49,0)),"")</f>
        <v>Scotland</v>
      </c>
      <c r="E966" s="14" t="s">
        <v>356</v>
      </c>
      <c r="F966" s="14">
        <v>3</v>
      </c>
    </row>
    <row r="967" spans="1:6" x14ac:dyDescent="0.3">
      <c r="A967" s="14">
        <v>966</v>
      </c>
      <c r="B967" s="14" t="s">
        <v>1322</v>
      </c>
      <c r="C967" s="14">
        <v>33</v>
      </c>
      <c r="D967" s="14" t="str">
        <f>IFERROR(INDEX(Teams!$B$2:$B$49,MATCH($C967,Teams!$A$2:$A$49,0)),"")</f>
        <v>Scotland</v>
      </c>
      <c r="E967" s="14" t="s">
        <v>361</v>
      </c>
      <c r="F967" s="14">
        <v>4</v>
      </c>
    </row>
    <row r="968" spans="1:6" x14ac:dyDescent="0.3">
      <c r="A968" s="14">
        <v>967</v>
      </c>
      <c r="B968" s="14" t="s">
        <v>1323</v>
      </c>
      <c r="C968" s="14">
        <v>33</v>
      </c>
      <c r="D968" s="14" t="str">
        <f>IFERROR(INDEX(Teams!$B$2:$B$49,MATCH($C968,Teams!$A$2:$A$49,0)),"")</f>
        <v>Scotland</v>
      </c>
      <c r="E968" s="14" t="s">
        <v>356</v>
      </c>
      <c r="F968" s="14">
        <v>5</v>
      </c>
    </row>
    <row r="969" spans="1:6" x14ac:dyDescent="0.3">
      <c r="A969" s="14">
        <v>968</v>
      </c>
      <c r="B969" s="14" t="s">
        <v>1324</v>
      </c>
      <c r="C969" s="14">
        <v>33</v>
      </c>
      <c r="D969" s="14" t="str">
        <f>IFERROR(INDEX(Teams!$B$2:$B$49,MATCH($C969,Teams!$A$2:$A$49,0)),"")</f>
        <v>Scotland</v>
      </c>
      <c r="E969" s="14" t="s">
        <v>356</v>
      </c>
      <c r="F969" s="14">
        <v>6</v>
      </c>
    </row>
    <row r="970" spans="1:6" x14ac:dyDescent="0.3">
      <c r="A970" s="14">
        <v>969</v>
      </c>
      <c r="B970" s="14" t="s">
        <v>1325</v>
      </c>
      <c r="C970" s="14">
        <v>33</v>
      </c>
      <c r="D970" s="14" t="str">
        <f>IFERROR(INDEX(Teams!$B$2:$B$49,MATCH($C970,Teams!$A$2:$A$49,0)),"")</f>
        <v>Scotland</v>
      </c>
      <c r="E970" s="14" t="s">
        <v>361</v>
      </c>
      <c r="F970" s="14">
        <v>7</v>
      </c>
    </row>
    <row r="971" spans="1:6" x14ac:dyDescent="0.3">
      <c r="A971" s="14">
        <v>970</v>
      </c>
      <c r="B971" s="14" t="s">
        <v>1326</v>
      </c>
      <c r="C971" s="14">
        <v>33</v>
      </c>
      <c r="D971" s="14" t="str">
        <f>IFERROR(INDEX(Teams!$B$2:$B$49,MATCH($C971,Teams!$A$2:$A$49,0)),"")</f>
        <v>Scotland</v>
      </c>
      <c r="E971" s="14" t="s">
        <v>361</v>
      </c>
      <c r="F971" s="14">
        <v>8</v>
      </c>
    </row>
    <row r="972" spans="1:6" x14ac:dyDescent="0.3">
      <c r="A972" s="14">
        <v>971</v>
      </c>
      <c r="B972" s="14" t="s">
        <v>1327</v>
      </c>
      <c r="C972" s="14">
        <v>33</v>
      </c>
      <c r="D972" s="14" t="str">
        <f>IFERROR(INDEX(Teams!$B$2:$B$49,MATCH($C972,Teams!$A$2:$A$49,0)),"")</f>
        <v>Scotland</v>
      </c>
      <c r="E972" s="14" t="s">
        <v>363</v>
      </c>
      <c r="F972" s="14">
        <v>9</v>
      </c>
    </row>
    <row r="973" spans="1:6" x14ac:dyDescent="0.3">
      <c r="A973" s="14">
        <v>972</v>
      </c>
      <c r="B973" s="14" t="s">
        <v>1328</v>
      </c>
      <c r="C973" s="14">
        <v>33</v>
      </c>
      <c r="D973" s="14" t="str">
        <f>IFERROR(INDEX(Teams!$B$2:$B$49,MATCH($C973,Teams!$A$2:$A$49,0)),"")</f>
        <v>Scotland</v>
      </c>
      <c r="E973" s="14" t="s">
        <v>363</v>
      </c>
      <c r="F973" s="14">
        <v>10</v>
      </c>
    </row>
    <row r="974" spans="1:6" x14ac:dyDescent="0.3">
      <c r="A974" s="14">
        <v>973</v>
      </c>
      <c r="B974" s="14" t="s">
        <v>1329</v>
      </c>
      <c r="C974" s="14">
        <v>33</v>
      </c>
      <c r="D974" s="14" t="str">
        <f>IFERROR(INDEX(Teams!$B$2:$B$49,MATCH($C974,Teams!$A$2:$A$49,0)),"")</f>
        <v>Scotland</v>
      </c>
      <c r="E974" s="14" t="s">
        <v>361</v>
      </c>
      <c r="F974" s="14">
        <v>11</v>
      </c>
    </row>
    <row r="975" spans="1:6" x14ac:dyDescent="0.3">
      <c r="A975" s="14">
        <v>974</v>
      </c>
      <c r="B975" s="14" t="s">
        <v>1330</v>
      </c>
      <c r="C975" s="14">
        <v>33</v>
      </c>
      <c r="D975" s="14" t="str">
        <f>IFERROR(INDEX(Teams!$B$2:$B$49,MATCH($C975,Teams!$A$2:$A$49,0)),"")</f>
        <v>Scotland</v>
      </c>
      <c r="E975" s="14" t="s">
        <v>354</v>
      </c>
      <c r="F975" s="14">
        <v>12</v>
      </c>
    </row>
    <row r="976" spans="1:6" x14ac:dyDescent="0.3">
      <c r="A976" s="14">
        <v>975</v>
      </c>
      <c r="B976" s="14" t="s">
        <v>1331</v>
      </c>
      <c r="C976" s="14">
        <v>33</v>
      </c>
      <c r="D976" s="14" t="str">
        <f>IFERROR(INDEX(Teams!$B$2:$B$49,MATCH($C976,Teams!$A$2:$A$49,0)),"")</f>
        <v>Scotland</v>
      </c>
      <c r="E976" s="14" t="s">
        <v>356</v>
      </c>
      <c r="F976" s="14">
        <v>13</v>
      </c>
    </row>
    <row r="977" spans="1:6" x14ac:dyDescent="0.3">
      <c r="A977" s="14">
        <v>976</v>
      </c>
      <c r="B977" s="14" t="s">
        <v>1332</v>
      </c>
      <c r="C977" s="14">
        <v>33</v>
      </c>
      <c r="D977" s="14" t="str">
        <f>IFERROR(INDEX(Teams!$B$2:$B$49,MATCH($C977,Teams!$A$2:$A$49,0)),"")</f>
        <v>Scotland</v>
      </c>
      <c r="E977" s="14" t="s">
        <v>363</v>
      </c>
      <c r="F977" s="14">
        <v>14</v>
      </c>
    </row>
    <row r="978" spans="1:6" x14ac:dyDescent="0.3">
      <c r="A978" s="14">
        <v>977</v>
      </c>
      <c r="B978" s="14" t="s">
        <v>1333</v>
      </c>
      <c r="C978" s="14">
        <v>33</v>
      </c>
      <c r="D978" s="14" t="str">
        <f>IFERROR(INDEX(Teams!$B$2:$B$49,MATCH($C978,Teams!$A$2:$A$49,0)),"")</f>
        <v>Scotland</v>
      </c>
      <c r="E978" s="14" t="s">
        <v>356</v>
      </c>
      <c r="F978" s="14">
        <v>15</v>
      </c>
    </row>
    <row r="979" spans="1:6" x14ac:dyDescent="0.3">
      <c r="A979" s="14">
        <v>978</v>
      </c>
      <c r="B979" s="14" t="s">
        <v>1334</v>
      </c>
      <c r="C979" s="14">
        <v>33</v>
      </c>
      <c r="D979" s="14" t="str">
        <f>IFERROR(INDEX(Teams!$B$2:$B$49,MATCH($C979,Teams!$A$2:$A$49,0)),"")</f>
        <v>Scotland</v>
      </c>
      <c r="E979" s="14" t="s">
        <v>356</v>
      </c>
      <c r="F979" s="14">
        <v>16</v>
      </c>
    </row>
    <row r="980" spans="1:6" x14ac:dyDescent="0.3">
      <c r="A980" s="14">
        <v>979</v>
      </c>
      <c r="B980" s="14" t="s">
        <v>1335</v>
      </c>
      <c r="C980" s="14">
        <v>33</v>
      </c>
      <c r="D980" s="14" t="str">
        <f>IFERROR(INDEX(Teams!$B$2:$B$49,MATCH($C980,Teams!$A$2:$A$49,0)),"")</f>
        <v>Scotland</v>
      </c>
      <c r="E980" s="14" t="s">
        <v>363</v>
      </c>
      <c r="F980" s="14">
        <v>17</v>
      </c>
    </row>
    <row r="981" spans="1:6" x14ac:dyDescent="0.3">
      <c r="A981" s="14">
        <v>980</v>
      </c>
      <c r="B981" s="14" t="s">
        <v>1336</v>
      </c>
      <c r="C981" s="14">
        <v>33</v>
      </c>
      <c r="D981" s="14" t="str">
        <f>IFERROR(INDEX(Teams!$B$2:$B$49,MATCH($C981,Teams!$A$2:$A$49,0)),"")</f>
        <v>Scotland</v>
      </c>
      <c r="E981" s="14" t="s">
        <v>363</v>
      </c>
      <c r="F981" s="14">
        <v>18</v>
      </c>
    </row>
    <row r="982" spans="1:6" x14ac:dyDescent="0.3">
      <c r="A982" s="14">
        <v>981</v>
      </c>
      <c r="B982" s="14" t="s">
        <v>1337</v>
      </c>
      <c r="C982" s="14">
        <v>33</v>
      </c>
      <c r="D982" s="14" t="str">
        <f>IFERROR(INDEX(Teams!$B$2:$B$49,MATCH($C982,Teams!$A$2:$A$49,0)),"")</f>
        <v>Scotland</v>
      </c>
      <c r="E982" s="14" t="s">
        <v>361</v>
      </c>
      <c r="F982" s="14">
        <v>19</v>
      </c>
    </row>
    <row r="983" spans="1:6" x14ac:dyDescent="0.3">
      <c r="A983" s="14">
        <v>982</v>
      </c>
      <c r="B983" s="14" t="s">
        <v>1338</v>
      </c>
      <c r="C983" s="14">
        <v>33</v>
      </c>
      <c r="D983" s="14" t="str">
        <f>IFERROR(INDEX(Teams!$B$2:$B$49,MATCH($C983,Teams!$A$2:$A$49,0)),"")</f>
        <v>Scotland</v>
      </c>
      <c r="E983" s="14" t="s">
        <v>363</v>
      </c>
      <c r="F983" s="14">
        <v>20</v>
      </c>
    </row>
    <row r="984" spans="1:6" x14ac:dyDescent="0.3">
      <c r="A984" s="14">
        <v>983</v>
      </c>
      <c r="B984" s="14" t="s">
        <v>1339</v>
      </c>
      <c r="C984" s="14">
        <v>33</v>
      </c>
      <c r="D984" s="14" t="str">
        <f>IFERROR(INDEX(Teams!$B$2:$B$49,MATCH($C984,Teams!$A$2:$A$49,0)),"")</f>
        <v>Scotland</v>
      </c>
      <c r="E984" s="14" t="s">
        <v>354</v>
      </c>
      <c r="F984" s="14">
        <v>21</v>
      </c>
    </row>
    <row r="985" spans="1:6" x14ac:dyDescent="0.3">
      <c r="A985" s="14">
        <v>984</v>
      </c>
      <c r="B985" s="14" t="s">
        <v>1340</v>
      </c>
      <c r="C985" s="14">
        <v>33</v>
      </c>
      <c r="D985" s="14" t="str">
        <f>IFERROR(INDEX(Teams!$B$2:$B$49,MATCH($C985,Teams!$A$2:$A$49,0)),"")</f>
        <v>Scotland</v>
      </c>
      <c r="E985" s="14" t="s">
        <v>356</v>
      </c>
      <c r="F985" s="14">
        <v>22</v>
      </c>
    </row>
    <row r="986" spans="1:6" x14ac:dyDescent="0.3">
      <c r="A986" s="14">
        <v>985</v>
      </c>
      <c r="B986" s="14" t="s">
        <v>1341</v>
      </c>
      <c r="C986" s="14">
        <v>33</v>
      </c>
      <c r="D986" s="14" t="str">
        <f>IFERROR(INDEX(Teams!$B$2:$B$49,MATCH($C986,Teams!$A$2:$A$49,0)),"")</f>
        <v>Scotland</v>
      </c>
      <c r="E986" s="14" t="s">
        <v>361</v>
      </c>
      <c r="F986" s="14">
        <v>23</v>
      </c>
    </row>
    <row r="987" spans="1:6" x14ac:dyDescent="0.3">
      <c r="A987" s="14">
        <v>986</v>
      </c>
      <c r="B987" s="14" t="s">
        <v>1342</v>
      </c>
      <c r="C987" s="14">
        <v>33</v>
      </c>
      <c r="D987" s="14" t="str">
        <f>IFERROR(INDEX(Teams!$B$2:$B$49,MATCH($C987,Teams!$A$2:$A$49,0)),"")</f>
        <v>Scotland</v>
      </c>
      <c r="E987" s="14" t="s">
        <v>356</v>
      </c>
      <c r="F987" s="14">
        <v>24</v>
      </c>
    </row>
    <row r="988" spans="1:6" x14ac:dyDescent="0.3">
      <c r="A988" s="14">
        <v>987</v>
      </c>
      <c r="B988" s="14" t="s">
        <v>1343</v>
      </c>
      <c r="C988" s="14">
        <v>33</v>
      </c>
      <c r="D988" s="14" t="str">
        <f>IFERROR(INDEX(Teams!$B$2:$B$49,MATCH($C988,Teams!$A$2:$A$49,0)),"")</f>
        <v>Scotland</v>
      </c>
      <c r="E988" s="14" t="s">
        <v>363</v>
      </c>
      <c r="F988" s="14">
        <v>25</v>
      </c>
    </row>
    <row r="989" spans="1:6" x14ac:dyDescent="0.3">
      <c r="A989" s="14">
        <v>988</v>
      </c>
      <c r="B989" s="14" t="s">
        <v>1344</v>
      </c>
      <c r="C989" s="14">
        <v>33</v>
      </c>
      <c r="D989" s="14" t="str">
        <f>IFERROR(INDEX(Teams!$B$2:$B$49,MATCH($C989,Teams!$A$2:$A$49,0)),"")</f>
        <v>Scotland</v>
      </c>
      <c r="E989" s="14" t="s">
        <v>356</v>
      </c>
      <c r="F989" s="14">
        <v>26</v>
      </c>
    </row>
    <row r="990" spans="1:6" x14ac:dyDescent="0.3">
      <c r="A990" s="14">
        <v>989</v>
      </c>
      <c r="B990" s="14" t="s">
        <v>1345</v>
      </c>
      <c r="C990" s="14">
        <v>34</v>
      </c>
      <c r="D990" s="14" t="str">
        <f>IFERROR(INDEX(Teams!$B$2:$B$49,MATCH($C990,Teams!$A$2:$A$49,0)),"")</f>
        <v>Senegal</v>
      </c>
      <c r="E990" s="14" t="s">
        <v>354</v>
      </c>
      <c r="F990" s="14">
        <v>1</v>
      </c>
    </row>
    <row r="991" spans="1:6" x14ac:dyDescent="0.3">
      <c r="A991" s="14">
        <v>990</v>
      </c>
      <c r="B991" s="14" t="s">
        <v>1346</v>
      </c>
      <c r="C991" s="14">
        <v>34</v>
      </c>
      <c r="D991" s="14" t="str">
        <f>IFERROR(INDEX(Teams!$B$2:$B$49,MATCH($C991,Teams!$A$2:$A$49,0)),"")</f>
        <v>Senegal</v>
      </c>
      <c r="E991" s="14" t="s">
        <v>356</v>
      </c>
      <c r="F991" s="14">
        <v>2</v>
      </c>
    </row>
    <row r="992" spans="1:6" x14ac:dyDescent="0.3">
      <c r="A992" s="14">
        <v>991</v>
      </c>
      <c r="B992" s="14" t="s">
        <v>1347</v>
      </c>
      <c r="C992" s="14">
        <v>34</v>
      </c>
      <c r="D992" s="14" t="str">
        <f>IFERROR(INDEX(Teams!$B$2:$B$49,MATCH($C992,Teams!$A$2:$A$49,0)),"")</f>
        <v>Senegal</v>
      </c>
      <c r="E992" s="14" t="s">
        <v>356</v>
      </c>
      <c r="F992" s="14">
        <v>3</v>
      </c>
    </row>
    <row r="993" spans="1:6" x14ac:dyDescent="0.3">
      <c r="A993" s="14">
        <v>992</v>
      </c>
      <c r="B993" s="14" t="s">
        <v>1348</v>
      </c>
      <c r="C993" s="14">
        <v>34</v>
      </c>
      <c r="D993" s="14" t="str">
        <f>IFERROR(INDEX(Teams!$B$2:$B$49,MATCH($C993,Teams!$A$2:$A$49,0)),"")</f>
        <v>Senegal</v>
      </c>
      <c r="E993" s="14" t="s">
        <v>356</v>
      </c>
      <c r="F993" s="14">
        <v>4</v>
      </c>
    </row>
    <row r="994" spans="1:6" x14ac:dyDescent="0.3">
      <c r="A994" s="14">
        <v>993</v>
      </c>
      <c r="B994" s="14" t="s">
        <v>1349</v>
      </c>
      <c r="C994" s="14">
        <v>34</v>
      </c>
      <c r="D994" s="14" t="str">
        <f>IFERROR(INDEX(Teams!$B$2:$B$49,MATCH($C994,Teams!$A$2:$A$49,0)),"")</f>
        <v>Senegal</v>
      </c>
      <c r="E994" s="14" t="s">
        <v>361</v>
      </c>
      <c r="F994" s="14">
        <v>5</v>
      </c>
    </row>
    <row r="995" spans="1:6" x14ac:dyDescent="0.3">
      <c r="A995" s="14">
        <v>994</v>
      </c>
      <c r="B995" s="14" t="s">
        <v>1350</v>
      </c>
      <c r="C995" s="14">
        <v>34</v>
      </c>
      <c r="D995" s="14" t="str">
        <f>IFERROR(INDEX(Teams!$B$2:$B$49,MATCH($C995,Teams!$A$2:$A$49,0)),"")</f>
        <v>Senegal</v>
      </c>
      <c r="E995" s="14" t="s">
        <v>361</v>
      </c>
      <c r="F995" s="14">
        <v>6</v>
      </c>
    </row>
    <row r="996" spans="1:6" x14ac:dyDescent="0.3">
      <c r="A996" s="14">
        <v>995</v>
      </c>
      <c r="B996" s="14" t="s">
        <v>1351</v>
      </c>
      <c r="C996" s="14">
        <v>34</v>
      </c>
      <c r="D996" s="14" t="str">
        <f>IFERROR(INDEX(Teams!$B$2:$B$49,MATCH($C996,Teams!$A$2:$A$49,0)),"")</f>
        <v>Senegal</v>
      </c>
      <c r="E996" s="14" t="s">
        <v>363</v>
      </c>
      <c r="F996" s="14">
        <v>7</v>
      </c>
    </row>
    <row r="997" spans="1:6" x14ac:dyDescent="0.3">
      <c r="A997" s="14">
        <v>996</v>
      </c>
      <c r="B997" s="14" t="s">
        <v>1352</v>
      </c>
      <c r="C997" s="14">
        <v>34</v>
      </c>
      <c r="D997" s="14" t="str">
        <f>IFERROR(INDEX(Teams!$B$2:$B$49,MATCH($C997,Teams!$A$2:$A$49,0)),"")</f>
        <v>Senegal</v>
      </c>
      <c r="E997" s="14" t="s">
        <v>361</v>
      </c>
      <c r="F997" s="14">
        <v>8</v>
      </c>
    </row>
    <row r="998" spans="1:6" x14ac:dyDescent="0.3">
      <c r="A998" s="14">
        <v>997</v>
      </c>
      <c r="B998" s="14" t="s">
        <v>1353</v>
      </c>
      <c r="C998" s="14">
        <v>34</v>
      </c>
      <c r="D998" s="14" t="str">
        <f>IFERROR(INDEX(Teams!$B$2:$B$49,MATCH($C998,Teams!$A$2:$A$49,0)),"")</f>
        <v>Senegal</v>
      </c>
      <c r="E998" s="14" t="s">
        <v>363</v>
      </c>
      <c r="F998" s="14">
        <v>9</v>
      </c>
    </row>
    <row r="999" spans="1:6" x14ac:dyDescent="0.3">
      <c r="A999" s="14">
        <v>998</v>
      </c>
      <c r="B999" s="14" t="s">
        <v>1354</v>
      </c>
      <c r="C999" s="14">
        <v>34</v>
      </c>
      <c r="D999" s="14" t="str">
        <f>IFERROR(INDEX(Teams!$B$2:$B$49,MATCH($C999,Teams!$A$2:$A$49,0)),"")</f>
        <v>Senegal</v>
      </c>
      <c r="E999" s="14" t="s">
        <v>363</v>
      </c>
      <c r="F999" s="14">
        <v>10</v>
      </c>
    </row>
    <row r="1000" spans="1:6" x14ac:dyDescent="0.3">
      <c r="A1000" s="14">
        <v>999</v>
      </c>
      <c r="B1000" s="14" t="s">
        <v>1355</v>
      </c>
      <c r="C1000" s="14">
        <v>34</v>
      </c>
      <c r="D1000" s="14" t="str">
        <f>IFERROR(INDEX(Teams!$B$2:$B$49,MATCH($C1000,Teams!$A$2:$A$49,0)),"")</f>
        <v>Senegal</v>
      </c>
      <c r="E1000" s="14" t="s">
        <v>363</v>
      </c>
      <c r="F1000" s="14">
        <v>11</v>
      </c>
    </row>
    <row r="1001" spans="1:6" x14ac:dyDescent="0.3">
      <c r="A1001" s="14">
        <v>1000</v>
      </c>
      <c r="B1001" s="14" t="s">
        <v>1356</v>
      </c>
      <c r="C1001" s="14">
        <v>34</v>
      </c>
      <c r="D1001" s="14" t="str">
        <f>IFERROR(INDEX(Teams!$B$2:$B$49,MATCH($C1001,Teams!$A$2:$A$49,0)),"")</f>
        <v>Senegal</v>
      </c>
      <c r="E1001" s="14" t="s">
        <v>363</v>
      </c>
      <c r="F1001" s="14">
        <v>12</v>
      </c>
    </row>
    <row r="1002" spans="1:6" x14ac:dyDescent="0.3">
      <c r="A1002" s="14">
        <v>1001</v>
      </c>
      <c r="B1002" s="14" t="s">
        <v>1357</v>
      </c>
      <c r="C1002" s="14">
        <v>34</v>
      </c>
      <c r="D1002" s="14" t="str">
        <f>IFERROR(INDEX(Teams!$B$2:$B$49,MATCH($C1002,Teams!$A$2:$A$49,0)),"")</f>
        <v>Senegal</v>
      </c>
      <c r="E1002" s="14" t="s">
        <v>363</v>
      </c>
      <c r="F1002" s="14">
        <v>13</v>
      </c>
    </row>
    <row r="1003" spans="1:6" x14ac:dyDescent="0.3">
      <c r="A1003" s="14">
        <v>1002</v>
      </c>
      <c r="B1003" s="14" t="s">
        <v>1358</v>
      </c>
      <c r="C1003" s="14">
        <v>34</v>
      </c>
      <c r="D1003" s="14" t="str">
        <f>IFERROR(INDEX(Teams!$B$2:$B$49,MATCH($C1003,Teams!$A$2:$A$49,0)),"")</f>
        <v>Senegal</v>
      </c>
      <c r="E1003" s="14" t="s">
        <v>356</v>
      </c>
      <c r="F1003" s="14">
        <v>14</v>
      </c>
    </row>
    <row r="1004" spans="1:6" x14ac:dyDescent="0.3">
      <c r="A1004" s="14">
        <v>1003</v>
      </c>
      <c r="B1004" s="14" t="s">
        <v>1359</v>
      </c>
      <c r="C1004" s="14">
        <v>34</v>
      </c>
      <c r="D1004" s="14" t="str">
        <f>IFERROR(INDEX(Teams!$B$2:$B$49,MATCH($C1004,Teams!$A$2:$A$49,0)),"")</f>
        <v>Senegal</v>
      </c>
      <c r="E1004" s="14" t="s">
        <v>356</v>
      </c>
      <c r="F1004" s="14">
        <v>15</v>
      </c>
    </row>
    <row r="1005" spans="1:6" x14ac:dyDescent="0.3">
      <c r="A1005" s="14">
        <v>1004</v>
      </c>
      <c r="B1005" s="14" t="s">
        <v>1360</v>
      </c>
      <c r="C1005" s="14">
        <v>34</v>
      </c>
      <c r="D1005" s="14" t="str">
        <f>IFERROR(INDEX(Teams!$B$2:$B$49,MATCH($C1005,Teams!$A$2:$A$49,0)),"")</f>
        <v>Senegal</v>
      </c>
      <c r="E1005" s="14" t="s">
        <v>354</v>
      </c>
      <c r="F1005" s="14">
        <v>16</v>
      </c>
    </row>
    <row r="1006" spans="1:6" x14ac:dyDescent="0.3">
      <c r="A1006" s="14">
        <v>1005</v>
      </c>
      <c r="B1006" s="14" t="s">
        <v>1361</v>
      </c>
      <c r="C1006" s="14">
        <v>34</v>
      </c>
      <c r="D1006" s="14" t="str">
        <f>IFERROR(INDEX(Teams!$B$2:$B$49,MATCH($C1006,Teams!$A$2:$A$49,0)),"")</f>
        <v>Senegal</v>
      </c>
      <c r="E1006" s="14" t="s">
        <v>361</v>
      </c>
      <c r="F1006" s="14">
        <v>17</v>
      </c>
    </row>
    <row r="1007" spans="1:6" x14ac:dyDescent="0.3">
      <c r="A1007" s="14">
        <v>1006</v>
      </c>
      <c r="B1007" s="14" t="s">
        <v>1362</v>
      </c>
      <c r="C1007" s="14">
        <v>34</v>
      </c>
      <c r="D1007" s="14" t="str">
        <f>IFERROR(INDEX(Teams!$B$2:$B$49,MATCH($C1007,Teams!$A$2:$A$49,0)),"")</f>
        <v>Senegal</v>
      </c>
      <c r="E1007" s="14" t="s">
        <v>363</v>
      </c>
      <c r="F1007" s="14">
        <v>18</v>
      </c>
    </row>
    <row r="1008" spans="1:6" x14ac:dyDescent="0.3">
      <c r="A1008" s="14">
        <v>1007</v>
      </c>
      <c r="B1008" s="14" t="s">
        <v>1363</v>
      </c>
      <c r="C1008" s="14">
        <v>34</v>
      </c>
      <c r="D1008" s="14" t="str">
        <f>IFERROR(INDEX(Teams!$B$2:$B$49,MATCH($C1008,Teams!$A$2:$A$49,0)),"")</f>
        <v>Senegal</v>
      </c>
      <c r="E1008" s="14" t="s">
        <v>356</v>
      </c>
      <c r="F1008" s="14">
        <v>19</v>
      </c>
    </row>
    <row r="1009" spans="1:6" x14ac:dyDescent="0.3">
      <c r="A1009" s="14">
        <v>1008</v>
      </c>
      <c r="B1009" s="14" t="s">
        <v>1364</v>
      </c>
      <c r="C1009" s="14">
        <v>34</v>
      </c>
      <c r="D1009" s="14" t="str">
        <f>IFERROR(INDEX(Teams!$B$2:$B$49,MATCH($C1009,Teams!$A$2:$A$49,0)),"")</f>
        <v>Senegal</v>
      </c>
      <c r="E1009" s="14" t="s">
        <v>363</v>
      </c>
      <c r="F1009" s="14">
        <v>20</v>
      </c>
    </row>
    <row r="1010" spans="1:6" x14ac:dyDescent="0.3">
      <c r="A1010" s="14">
        <v>1009</v>
      </c>
      <c r="B1010" s="14" t="s">
        <v>1365</v>
      </c>
      <c r="C1010" s="14">
        <v>34</v>
      </c>
      <c r="D1010" s="14" t="str">
        <f>IFERROR(INDEX(Teams!$B$2:$B$49,MATCH($C1010,Teams!$A$2:$A$49,0)),"")</f>
        <v>Senegal</v>
      </c>
      <c r="E1010" s="14" t="s">
        <v>361</v>
      </c>
      <c r="F1010" s="14">
        <v>21</v>
      </c>
    </row>
    <row r="1011" spans="1:6" x14ac:dyDescent="0.3">
      <c r="A1011" s="14">
        <v>1010</v>
      </c>
      <c r="B1011" s="14" t="s">
        <v>1366</v>
      </c>
      <c r="C1011" s="14">
        <v>34</v>
      </c>
      <c r="D1011" s="14" t="str">
        <f>IFERROR(INDEX(Teams!$B$2:$B$49,MATCH($C1011,Teams!$A$2:$A$49,0)),"")</f>
        <v>Senegal</v>
      </c>
      <c r="E1011" s="14" t="s">
        <v>361</v>
      </c>
      <c r="F1011" s="14">
        <v>22</v>
      </c>
    </row>
    <row r="1012" spans="1:6" x14ac:dyDescent="0.3">
      <c r="A1012" s="14">
        <v>1011</v>
      </c>
      <c r="B1012" s="14" t="s">
        <v>1367</v>
      </c>
      <c r="C1012" s="14">
        <v>34</v>
      </c>
      <c r="D1012" s="14" t="str">
        <f>IFERROR(INDEX(Teams!$B$2:$B$49,MATCH($C1012,Teams!$A$2:$A$49,0)),"")</f>
        <v>Senegal</v>
      </c>
      <c r="E1012" s="14" t="s">
        <v>354</v>
      </c>
      <c r="F1012" s="14">
        <v>23</v>
      </c>
    </row>
    <row r="1013" spans="1:6" x14ac:dyDescent="0.3">
      <c r="A1013" s="14">
        <v>1012</v>
      </c>
      <c r="B1013" s="14" t="s">
        <v>1368</v>
      </c>
      <c r="C1013" s="14">
        <v>34</v>
      </c>
      <c r="D1013" s="14" t="str">
        <f>IFERROR(INDEX(Teams!$B$2:$B$49,MATCH($C1013,Teams!$A$2:$A$49,0)),"")</f>
        <v>Senegal</v>
      </c>
      <c r="E1013" s="14" t="s">
        <v>356</v>
      </c>
      <c r="F1013" s="14">
        <v>24</v>
      </c>
    </row>
    <row r="1014" spans="1:6" x14ac:dyDescent="0.3">
      <c r="A1014" s="14">
        <v>1013</v>
      </c>
      <c r="B1014" s="14" t="s">
        <v>1369</v>
      </c>
      <c r="C1014" s="14">
        <v>34</v>
      </c>
      <c r="D1014" s="14" t="str">
        <f>IFERROR(INDEX(Teams!$B$2:$B$49,MATCH($C1014,Teams!$A$2:$A$49,0)),"")</f>
        <v>Senegal</v>
      </c>
      <c r="E1014" s="14" t="s">
        <v>356</v>
      </c>
      <c r="F1014" s="14">
        <v>25</v>
      </c>
    </row>
    <row r="1015" spans="1:6" x14ac:dyDescent="0.3">
      <c r="A1015" s="14">
        <v>1014</v>
      </c>
      <c r="B1015" s="14" t="s">
        <v>1370</v>
      </c>
      <c r="C1015" s="14">
        <v>34</v>
      </c>
      <c r="D1015" s="14" t="str">
        <f>IFERROR(INDEX(Teams!$B$2:$B$49,MATCH($C1015,Teams!$A$2:$A$49,0)),"")</f>
        <v>Senegal</v>
      </c>
      <c r="E1015" s="14" t="s">
        <v>361</v>
      </c>
      <c r="F1015" s="14">
        <v>26</v>
      </c>
    </row>
    <row r="1016" spans="1:6" x14ac:dyDescent="0.3">
      <c r="A1016" s="14">
        <v>1015</v>
      </c>
      <c r="B1016" s="14" t="s">
        <v>1371</v>
      </c>
      <c r="C1016" s="14">
        <v>24</v>
      </c>
      <c r="D1016" s="14" t="str">
        <f>IFERROR(INDEX(Teams!$B$2:$B$49,MATCH($C1016,Teams!$A$2:$A$49,0)),"")</f>
        <v>South Africa</v>
      </c>
      <c r="E1016" s="14" t="s">
        <v>354</v>
      </c>
      <c r="F1016" s="14">
        <v>1</v>
      </c>
    </row>
    <row r="1017" spans="1:6" x14ac:dyDescent="0.3">
      <c r="A1017" s="14">
        <v>1016</v>
      </c>
      <c r="B1017" s="14" t="s">
        <v>1372</v>
      </c>
      <c r="C1017" s="14">
        <v>24</v>
      </c>
      <c r="D1017" s="14" t="str">
        <f>IFERROR(INDEX(Teams!$B$2:$B$49,MATCH($C1017,Teams!$A$2:$A$49,0)),"")</f>
        <v>South Africa</v>
      </c>
      <c r="E1017" s="14" t="s">
        <v>356</v>
      </c>
      <c r="F1017" s="14">
        <v>2</v>
      </c>
    </row>
    <row r="1018" spans="1:6" x14ac:dyDescent="0.3">
      <c r="A1018" s="14">
        <v>1017</v>
      </c>
      <c r="B1018" s="14" t="s">
        <v>1373</v>
      </c>
      <c r="C1018" s="14">
        <v>24</v>
      </c>
      <c r="D1018" s="14" t="str">
        <f>IFERROR(INDEX(Teams!$B$2:$B$49,MATCH($C1018,Teams!$A$2:$A$49,0)),"")</f>
        <v>South Africa</v>
      </c>
      <c r="E1018" s="14" t="s">
        <v>356</v>
      </c>
      <c r="F1018" s="14">
        <v>3</v>
      </c>
    </row>
    <row r="1019" spans="1:6" x14ac:dyDescent="0.3">
      <c r="A1019" s="14">
        <v>1018</v>
      </c>
      <c r="B1019" s="14" t="s">
        <v>1374</v>
      </c>
      <c r="C1019" s="14">
        <v>24</v>
      </c>
      <c r="D1019" s="14" t="str">
        <f>IFERROR(INDEX(Teams!$B$2:$B$49,MATCH($C1019,Teams!$A$2:$A$49,0)),"")</f>
        <v>South Africa</v>
      </c>
      <c r="E1019" s="14" t="s">
        <v>361</v>
      </c>
      <c r="F1019" s="14">
        <v>4</v>
      </c>
    </row>
    <row r="1020" spans="1:6" x14ac:dyDescent="0.3">
      <c r="A1020" s="14">
        <v>1019</v>
      </c>
      <c r="B1020" s="14" t="s">
        <v>1375</v>
      </c>
      <c r="C1020" s="14">
        <v>24</v>
      </c>
      <c r="D1020" s="14" t="str">
        <f>IFERROR(INDEX(Teams!$B$2:$B$49,MATCH($C1020,Teams!$A$2:$A$49,0)),"")</f>
        <v>South Africa</v>
      </c>
      <c r="E1020" s="14" t="s">
        <v>361</v>
      </c>
      <c r="F1020" s="14">
        <v>5</v>
      </c>
    </row>
    <row r="1021" spans="1:6" x14ac:dyDescent="0.3">
      <c r="A1021" s="14">
        <v>1020</v>
      </c>
      <c r="B1021" s="14" t="s">
        <v>1376</v>
      </c>
      <c r="C1021" s="14">
        <v>24</v>
      </c>
      <c r="D1021" s="14" t="str">
        <f>IFERROR(INDEX(Teams!$B$2:$B$49,MATCH($C1021,Teams!$A$2:$A$49,0)),"")</f>
        <v>South Africa</v>
      </c>
      <c r="E1021" s="14" t="s">
        <v>356</v>
      </c>
      <c r="F1021" s="14">
        <v>6</v>
      </c>
    </row>
    <row r="1022" spans="1:6" x14ac:dyDescent="0.3">
      <c r="A1022" s="14">
        <v>1021</v>
      </c>
      <c r="B1022" s="14" t="s">
        <v>1377</v>
      </c>
      <c r="C1022" s="14">
        <v>24</v>
      </c>
      <c r="D1022" s="14" t="str">
        <f>IFERROR(INDEX(Teams!$B$2:$B$49,MATCH($C1022,Teams!$A$2:$A$49,0)),"")</f>
        <v>South Africa</v>
      </c>
      <c r="E1022" s="14" t="s">
        <v>363</v>
      </c>
      <c r="F1022" s="14">
        <v>7</v>
      </c>
    </row>
    <row r="1023" spans="1:6" x14ac:dyDescent="0.3">
      <c r="A1023" s="14">
        <v>1022</v>
      </c>
      <c r="B1023" s="14" t="s">
        <v>1378</v>
      </c>
      <c r="C1023" s="14">
        <v>24</v>
      </c>
      <c r="D1023" s="14" t="str">
        <f>IFERROR(INDEX(Teams!$B$2:$B$49,MATCH($C1023,Teams!$A$2:$A$49,0)),"")</f>
        <v>South Africa</v>
      </c>
      <c r="E1023" s="14" t="s">
        <v>363</v>
      </c>
      <c r="F1023" s="14">
        <v>8</v>
      </c>
    </row>
    <row r="1024" spans="1:6" x14ac:dyDescent="0.3">
      <c r="A1024" s="14">
        <v>1023</v>
      </c>
      <c r="B1024" s="14" t="s">
        <v>1379</v>
      </c>
      <c r="C1024" s="14">
        <v>24</v>
      </c>
      <c r="D1024" s="14" t="str">
        <f>IFERROR(INDEX(Teams!$B$2:$B$49,MATCH($C1024,Teams!$A$2:$A$49,0)),"")</f>
        <v>South Africa</v>
      </c>
      <c r="E1024" s="14" t="s">
        <v>363</v>
      </c>
      <c r="F1024" s="14">
        <v>9</v>
      </c>
    </row>
    <row r="1025" spans="1:6" x14ac:dyDescent="0.3">
      <c r="A1025" s="14">
        <v>1024</v>
      </c>
      <c r="B1025" s="14" t="s">
        <v>1380</v>
      </c>
      <c r="C1025" s="14">
        <v>24</v>
      </c>
      <c r="D1025" s="14" t="str">
        <f>IFERROR(INDEX(Teams!$B$2:$B$49,MATCH($C1025,Teams!$A$2:$A$49,0)),"")</f>
        <v>South Africa</v>
      </c>
      <c r="E1025" s="14" t="s">
        <v>363</v>
      </c>
      <c r="F1025" s="14">
        <v>10</v>
      </c>
    </row>
    <row r="1026" spans="1:6" x14ac:dyDescent="0.3">
      <c r="A1026" s="14">
        <v>1025</v>
      </c>
      <c r="B1026" s="14" t="s">
        <v>1381</v>
      </c>
      <c r="C1026" s="14">
        <v>24</v>
      </c>
      <c r="D1026" s="14" t="str">
        <f>IFERROR(INDEX(Teams!$B$2:$B$49,MATCH($C1026,Teams!$A$2:$A$49,0)),"")</f>
        <v>South Africa</v>
      </c>
      <c r="E1026" s="14" t="s">
        <v>361</v>
      </c>
      <c r="F1026" s="14">
        <v>11</v>
      </c>
    </row>
    <row r="1027" spans="1:6" x14ac:dyDescent="0.3">
      <c r="A1027" s="14">
        <v>1026</v>
      </c>
      <c r="B1027" s="14" t="s">
        <v>1382</v>
      </c>
      <c r="C1027" s="14">
        <v>24</v>
      </c>
      <c r="D1027" s="14" t="str">
        <f>IFERROR(INDEX(Teams!$B$2:$B$49,MATCH($C1027,Teams!$A$2:$A$49,0)),"")</f>
        <v>South Africa</v>
      </c>
      <c r="E1027" s="14" t="s">
        <v>363</v>
      </c>
      <c r="F1027" s="14">
        <v>12</v>
      </c>
    </row>
    <row r="1028" spans="1:6" x14ac:dyDescent="0.3">
      <c r="A1028" s="14">
        <v>1027</v>
      </c>
      <c r="B1028" s="14" t="s">
        <v>1383</v>
      </c>
      <c r="C1028" s="14">
        <v>24</v>
      </c>
      <c r="D1028" s="14" t="str">
        <f>IFERROR(INDEX(Teams!$B$2:$B$49,MATCH($C1028,Teams!$A$2:$A$49,0)),"")</f>
        <v>South Africa</v>
      </c>
      <c r="E1028" s="14" t="s">
        <v>361</v>
      </c>
      <c r="F1028" s="14">
        <v>13</v>
      </c>
    </row>
    <row r="1029" spans="1:6" x14ac:dyDescent="0.3">
      <c r="A1029" s="14">
        <v>1028</v>
      </c>
      <c r="B1029" s="14" t="s">
        <v>1384</v>
      </c>
      <c r="C1029" s="14">
        <v>24</v>
      </c>
      <c r="D1029" s="14" t="str">
        <f>IFERROR(INDEX(Teams!$B$2:$B$49,MATCH($C1029,Teams!$A$2:$A$49,0)),"")</f>
        <v>South Africa</v>
      </c>
      <c r="E1029" s="14" t="s">
        <v>356</v>
      </c>
      <c r="F1029" s="14">
        <v>14</v>
      </c>
    </row>
    <row r="1030" spans="1:6" x14ac:dyDescent="0.3">
      <c r="A1030" s="14">
        <v>1029</v>
      </c>
      <c r="B1030" s="14" t="s">
        <v>1385</v>
      </c>
      <c r="C1030" s="14">
        <v>24</v>
      </c>
      <c r="D1030" s="14" t="str">
        <f>IFERROR(INDEX(Teams!$B$2:$B$49,MATCH($C1030,Teams!$A$2:$A$49,0)),"")</f>
        <v>South Africa</v>
      </c>
      <c r="E1030" s="14" t="s">
        <v>363</v>
      </c>
      <c r="F1030" s="14">
        <v>15</v>
      </c>
    </row>
    <row r="1031" spans="1:6" x14ac:dyDescent="0.3">
      <c r="A1031" s="14">
        <v>1030</v>
      </c>
      <c r="B1031" s="14" t="s">
        <v>1386</v>
      </c>
      <c r="C1031" s="14">
        <v>24</v>
      </c>
      <c r="D1031" s="14" t="str">
        <f>IFERROR(INDEX(Teams!$B$2:$B$49,MATCH($C1031,Teams!$A$2:$A$49,0)),"")</f>
        <v>South Africa</v>
      </c>
      <c r="E1031" s="14" t="s">
        <v>354</v>
      </c>
      <c r="F1031" s="14">
        <v>16</v>
      </c>
    </row>
    <row r="1032" spans="1:6" x14ac:dyDescent="0.3">
      <c r="A1032" s="14">
        <v>1031</v>
      </c>
      <c r="B1032" s="14" t="s">
        <v>1387</v>
      </c>
      <c r="C1032" s="14">
        <v>24</v>
      </c>
      <c r="D1032" s="14" t="str">
        <f>IFERROR(INDEX(Teams!$B$2:$B$49,MATCH($C1032,Teams!$A$2:$A$49,0)),"")</f>
        <v>South Africa</v>
      </c>
      <c r="E1032" s="14" t="s">
        <v>363</v>
      </c>
      <c r="F1032" s="14">
        <v>17</v>
      </c>
    </row>
    <row r="1033" spans="1:6" x14ac:dyDescent="0.3">
      <c r="A1033" s="14">
        <v>1032</v>
      </c>
      <c r="B1033" s="14" t="s">
        <v>1388</v>
      </c>
      <c r="C1033" s="14">
        <v>24</v>
      </c>
      <c r="D1033" s="14" t="str">
        <f>IFERROR(INDEX(Teams!$B$2:$B$49,MATCH($C1033,Teams!$A$2:$A$49,0)),"")</f>
        <v>South Africa</v>
      </c>
      <c r="E1033" s="14" t="s">
        <v>356</v>
      </c>
      <c r="F1033" s="14">
        <v>18</v>
      </c>
    </row>
    <row r="1034" spans="1:6" x14ac:dyDescent="0.3">
      <c r="A1034" s="14">
        <v>1033</v>
      </c>
      <c r="B1034" s="14" t="s">
        <v>1389</v>
      </c>
      <c r="C1034" s="14">
        <v>24</v>
      </c>
      <c r="D1034" s="14" t="str">
        <f>IFERROR(INDEX(Teams!$B$2:$B$49,MATCH($C1034,Teams!$A$2:$A$49,0)),"")</f>
        <v>South Africa</v>
      </c>
      <c r="E1034" s="14" t="s">
        <v>356</v>
      </c>
      <c r="F1034" s="14">
        <v>19</v>
      </c>
    </row>
    <row r="1035" spans="1:6" x14ac:dyDescent="0.3">
      <c r="A1035" s="14">
        <v>1034</v>
      </c>
      <c r="B1035" s="14" t="s">
        <v>1390</v>
      </c>
      <c r="C1035" s="14">
        <v>24</v>
      </c>
      <c r="D1035" s="14" t="str">
        <f>IFERROR(INDEX(Teams!$B$2:$B$49,MATCH($C1035,Teams!$A$2:$A$49,0)),"")</f>
        <v>South Africa</v>
      </c>
      <c r="E1035" s="14" t="s">
        <v>356</v>
      </c>
      <c r="F1035" s="14">
        <v>20</v>
      </c>
    </row>
    <row r="1036" spans="1:6" x14ac:dyDescent="0.3">
      <c r="A1036" s="14">
        <v>1035</v>
      </c>
      <c r="B1036" s="14" t="s">
        <v>1391</v>
      </c>
      <c r="C1036" s="14">
        <v>24</v>
      </c>
      <c r="D1036" s="14" t="str">
        <f>IFERROR(INDEX(Teams!$B$2:$B$49,MATCH($C1036,Teams!$A$2:$A$49,0)),"")</f>
        <v>South Africa</v>
      </c>
      <c r="E1036" s="14" t="s">
        <v>356</v>
      </c>
      <c r="F1036" s="14">
        <v>21</v>
      </c>
    </row>
    <row r="1037" spans="1:6" x14ac:dyDescent="0.3">
      <c r="A1037" s="14">
        <v>1036</v>
      </c>
      <c r="B1037" s="14" t="s">
        <v>1392</v>
      </c>
      <c r="C1037" s="14">
        <v>24</v>
      </c>
      <c r="D1037" s="14" t="str">
        <f>IFERROR(INDEX(Teams!$B$2:$B$49,MATCH($C1037,Teams!$A$2:$A$49,0)),"")</f>
        <v>South Africa</v>
      </c>
      <c r="E1037" s="14" t="s">
        <v>354</v>
      </c>
      <c r="F1037" s="14">
        <v>22</v>
      </c>
    </row>
    <row r="1038" spans="1:6" x14ac:dyDescent="0.3">
      <c r="A1038" s="14">
        <v>1037</v>
      </c>
      <c r="B1038" s="14" t="s">
        <v>1393</v>
      </c>
      <c r="C1038" s="14">
        <v>24</v>
      </c>
      <c r="D1038" s="14" t="str">
        <f>IFERROR(INDEX(Teams!$B$2:$B$49,MATCH($C1038,Teams!$A$2:$A$49,0)),"")</f>
        <v>South Africa</v>
      </c>
      <c r="E1038" s="14" t="s">
        <v>361</v>
      </c>
      <c r="F1038" s="14">
        <v>23</v>
      </c>
    </row>
    <row r="1039" spans="1:6" x14ac:dyDescent="0.3">
      <c r="A1039" s="14">
        <v>1038</v>
      </c>
      <c r="B1039" s="14" t="s">
        <v>1394</v>
      </c>
      <c r="C1039" s="14">
        <v>24</v>
      </c>
      <c r="D1039" s="14" t="str">
        <f>IFERROR(INDEX(Teams!$B$2:$B$49,MATCH($C1039,Teams!$A$2:$A$49,0)),"")</f>
        <v>South Africa</v>
      </c>
      <c r="E1039" s="14" t="s">
        <v>356</v>
      </c>
      <c r="F1039" s="14">
        <v>24</v>
      </c>
    </row>
    <row r="1040" spans="1:6" x14ac:dyDescent="0.3">
      <c r="A1040" s="14">
        <v>1039</v>
      </c>
      <c r="B1040" s="14" t="s">
        <v>1395</v>
      </c>
      <c r="C1040" s="14">
        <v>24</v>
      </c>
      <c r="D1040" s="14" t="str">
        <f>IFERROR(INDEX(Teams!$B$2:$B$49,MATCH($C1040,Teams!$A$2:$A$49,0)),"")</f>
        <v>South Africa</v>
      </c>
      <c r="E1040" s="14" t="s">
        <v>363</v>
      </c>
      <c r="F1040" s="14">
        <v>25</v>
      </c>
    </row>
    <row r="1041" spans="1:6" x14ac:dyDescent="0.3">
      <c r="A1041" s="14">
        <v>1040</v>
      </c>
      <c r="B1041" s="14" t="s">
        <v>1396</v>
      </c>
      <c r="C1041" s="14">
        <v>24</v>
      </c>
      <c r="D1041" s="14" t="str">
        <f>IFERROR(INDEX(Teams!$B$2:$B$49,MATCH($C1041,Teams!$A$2:$A$49,0)),"")</f>
        <v>South Africa</v>
      </c>
      <c r="E1041" s="14" t="s">
        <v>356</v>
      </c>
      <c r="F1041" s="14">
        <v>26</v>
      </c>
    </row>
    <row r="1042" spans="1:6" x14ac:dyDescent="0.3">
      <c r="A1042" s="14">
        <v>1041</v>
      </c>
      <c r="B1042" s="14" t="s">
        <v>1397</v>
      </c>
      <c r="C1042" s="14">
        <v>10</v>
      </c>
      <c r="D1042" s="14" t="str">
        <f>IFERROR(INDEX(Teams!$B$2:$B$49,MATCH($C1042,Teams!$A$2:$A$49,0)),"")</f>
        <v>Spain</v>
      </c>
      <c r="E1042" s="14" t="s">
        <v>354</v>
      </c>
      <c r="F1042" s="14">
        <v>1</v>
      </c>
    </row>
    <row r="1043" spans="1:6" x14ac:dyDescent="0.3">
      <c r="A1043" s="14">
        <v>1042</v>
      </c>
      <c r="B1043" s="14" t="s">
        <v>1398</v>
      </c>
      <c r="C1043" s="14">
        <v>10</v>
      </c>
      <c r="D1043" s="14" t="str">
        <f>IFERROR(INDEX(Teams!$B$2:$B$49,MATCH($C1043,Teams!$A$2:$A$49,0)),"")</f>
        <v>Spain</v>
      </c>
      <c r="E1043" s="14" t="s">
        <v>356</v>
      </c>
      <c r="F1043" s="14">
        <v>2</v>
      </c>
    </row>
    <row r="1044" spans="1:6" x14ac:dyDescent="0.3">
      <c r="A1044" s="14">
        <v>1043</v>
      </c>
      <c r="B1044" s="14" t="s">
        <v>1399</v>
      </c>
      <c r="C1044" s="14">
        <v>10</v>
      </c>
      <c r="D1044" s="14" t="str">
        <f>IFERROR(INDEX(Teams!$B$2:$B$49,MATCH($C1044,Teams!$A$2:$A$49,0)),"")</f>
        <v>Spain</v>
      </c>
      <c r="E1044" s="14" t="s">
        <v>356</v>
      </c>
      <c r="F1044" s="14">
        <v>3</v>
      </c>
    </row>
    <row r="1045" spans="1:6" x14ac:dyDescent="0.3">
      <c r="A1045" s="14">
        <v>1044</v>
      </c>
      <c r="B1045" s="14" t="s">
        <v>1400</v>
      </c>
      <c r="C1045" s="14">
        <v>10</v>
      </c>
      <c r="D1045" s="14" t="str">
        <f>IFERROR(INDEX(Teams!$B$2:$B$49,MATCH($C1045,Teams!$A$2:$A$49,0)),"")</f>
        <v>Spain</v>
      </c>
      <c r="E1045" s="14" t="s">
        <v>356</v>
      </c>
      <c r="F1045" s="14">
        <v>4</v>
      </c>
    </row>
    <row r="1046" spans="1:6" x14ac:dyDescent="0.3">
      <c r="A1046" s="14">
        <v>1045</v>
      </c>
      <c r="B1046" s="14" t="s">
        <v>1401</v>
      </c>
      <c r="C1046" s="14">
        <v>10</v>
      </c>
      <c r="D1046" s="14" t="str">
        <f>IFERROR(INDEX(Teams!$B$2:$B$49,MATCH($C1046,Teams!$A$2:$A$49,0)),"")</f>
        <v>Spain</v>
      </c>
      <c r="E1046" s="14" t="s">
        <v>356</v>
      </c>
      <c r="F1046" s="14">
        <v>5</v>
      </c>
    </row>
    <row r="1047" spans="1:6" x14ac:dyDescent="0.3">
      <c r="A1047" s="14">
        <v>1046</v>
      </c>
      <c r="B1047" s="14" t="s">
        <v>1402</v>
      </c>
      <c r="C1047" s="14">
        <v>10</v>
      </c>
      <c r="D1047" s="14" t="str">
        <f>IFERROR(INDEX(Teams!$B$2:$B$49,MATCH($C1047,Teams!$A$2:$A$49,0)),"")</f>
        <v>Spain</v>
      </c>
      <c r="E1047" s="14" t="s">
        <v>361</v>
      </c>
      <c r="F1047" s="14">
        <v>6</v>
      </c>
    </row>
    <row r="1048" spans="1:6" x14ac:dyDescent="0.3">
      <c r="A1048" s="14">
        <v>1047</v>
      </c>
      <c r="B1048" s="14" t="s">
        <v>1403</v>
      </c>
      <c r="C1048" s="14">
        <v>10</v>
      </c>
      <c r="D1048" s="14" t="str">
        <f>IFERROR(INDEX(Teams!$B$2:$B$49,MATCH($C1048,Teams!$A$2:$A$49,0)),"")</f>
        <v>Spain</v>
      </c>
      <c r="E1048" s="14" t="s">
        <v>363</v>
      </c>
      <c r="F1048" s="14">
        <v>7</v>
      </c>
    </row>
    <row r="1049" spans="1:6" x14ac:dyDescent="0.3">
      <c r="A1049" s="14">
        <v>1048</v>
      </c>
      <c r="B1049" s="14" t="s">
        <v>1404</v>
      </c>
      <c r="C1049" s="14">
        <v>10</v>
      </c>
      <c r="D1049" s="14" t="str">
        <f>IFERROR(INDEX(Teams!$B$2:$B$49,MATCH($C1049,Teams!$A$2:$A$49,0)),"")</f>
        <v>Spain</v>
      </c>
      <c r="E1049" s="14" t="s">
        <v>361</v>
      </c>
      <c r="F1049" s="14">
        <v>8</v>
      </c>
    </row>
    <row r="1050" spans="1:6" x14ac:dyDescent="0.3">
      <c r="A1050" s="14">
        <v>1049</v>
      </c>
      <c r="B1050" s="14" t="s">
        <v>1405</v>
      </c>
      <c r="C1050" s="14">
        <v>10</v>
      </c>
      <c r="D1050" s="14" t="str">
        <f>IFERROR(INDEX(Teams!$B$2:$B$49,MATCH($C1050,Teams!$A$2:$A$49,0)),"")</f>
        <v>Spain</v>
      </c>
      <c r="E1050" s="14" t="s">
        <v>361</v>
      </c>
      <c r="F1050" s="14">
        <v>9</v>
      </c>
    </row>
    <row r="1051" spans="1:6" x14ac:dyDescent="0.3">
      <c r="A1051" s="14">
        <v>1050</v>
      </c>
      <c r="B1051" s="14" t="s">
        <v>1406</v>
      </c>
      <c r="C1051" s="14">
        <v>10</v>
      </c>
      <c r="D1051" s="14" t="str">
        <f>IFERROR(INDEX(Teams!$B$2:$B$49,MATCH($C1051,Teams!$A$2:$A$49,0)),"")</f>
        <v>Spain</v>
      </c>
      <c r="E1051" s="14" t="s">
        <v>363</v>
      </c>
      <c r="F1051" s="14">
        <v>10</v>
      </c>
    </row>
    <row r="1052" spans="1:6" x14ac:dyDescent="0.3">
      <c r="A1052" s="14">
        <v>1051</v>
      </c>
      <c r="B1052" s="14" t="s">
        <v>1407</v>
      </c>
      <c r="C1052" s="14">
        <v>10</v>
      </c>
      <c r="D1052" s="14" t="str">
        <f>IFERROR(INDEX(Teams!$B$2:$B$49,MATCH($C1052,Teams!$A$2:$A$49,0)),"")</f>
        <v>Spain</v>
      </c>
      <c r="E1052" s="14" t="s">
        <v>363</v>
      </c>
      <c r="F1052" s="14">
        <v>11</v>
      </c>
    </row>
    <row r="1053" spans="1:6" x14ac:dyDescent="0.3">
      <c r="A1053" s="14">
        <v>1052</v>
      </c>
      <c r="B1053" s="14" t="s">
        <v>1408</v>
      </c>
      <c r="C1053" s="14">
        <v>10</v>
      </c>
      <c r="D1053" s="14" t="str">
        <f>IFERROR(INDEX(Teams!$B$2:$B$49,MATCH($C1053,Teams!$A$2:$A$49,0)),"")</f>
        <v>Spain</v>
      </c>
      <c r="E1053" s="14" t="s">
        <v>356</v>
      </c>
      <c r="F1053" s="14">
        <v>12</v>
      </c>
    </row>
    <row r="1054" spans="1:6" x14ac:dyDescent="0.3">
      <c r="A1054" s="14">
        <v>1053</v>
      </c>
      <c r="B1054" s="14" t="s">
        <v>1409</v>
      </c>
      <c r="C1054" s="14">
        <v>10</v>
      </c>
      <c r="D1054" s="14" t="str">
        <f>IFERROR(INDEX(Teams!$B$2:$B$49,MATCH($C1054,Teams!$A$2:$A$49,0)),"")</f>
        <v>Spain</v>
      </c>
      <c r="E1054" s="14" t="s">
        <v>354</v>
      </c>
      <c r="F1054" s="14">
        <v>13</v>
      </c>
    </row>
    <row r="1055" spans="1:6" x14ac:dyDescent="0.3">
      <c r="A1055" s="14">
        <v>1054</v>
      </c>
      <c r="B1055" s="14" t="s">
        <v>1410</v>
      </c>
      <c r="C1055" s="14">
        <v>10</v>
      </c>
      <c r="D1055" s="14" t="str">
        <f>IFERROR(INDEX(Teams!$B$2:$B$49,MATCH($C1055,Teams!$A$2:$A$49,0)),"")</f>
        <v>Spain</v>
      </c>
      <c r="E1055" s="14" t="s">
        <v>356</v>
      </c>
      <c r="F1055" s="14">
        <v>14</v>
      </c>
    </row>
    <row r="1056" spans="1:6" x14ac:dyDescent="0.3">
      <c r="A1056" s="14">
        <v>1055</v>
      </c>
      <c r="B1056" s="14" t="s">
        <v>1411</v>
      </c>
      <c r="C1056" s="14">
        <v>10</v>
      </c>
      <c r="D1056" s="14" t="str">
        <f>IFERROR(INDEX(Teams!$B$2:$B$49,MATCH($C1056,Teams!$A$2:$A$49,0)),"")</f>
        <v>Spain</v>
      </c>
      <c r="E1056" s="14" t="s">
        <v>361</v>
      </c>
      <c r="F1056" s="14">
        <v>15</v>
      </c>
    </row>
    <row r="1057" spans="1:6" x14ac:dyDescent="0.3">
      <c r="A1057" s="14">
        <v>1056</v>
      </c>
      <c r="B1057" s="14" t="s">
        <v>1412</v>
      </c>
      <c r="C1057" s="14">
        <v>10</v>
      </c>
      <c r="D1057" s="14" t="str">
        <f>IFERROR(INDEX(Teams!$B$2:$B$49,MATCH($C1057,Teams!$A$2:$A$49,0)),"")</f>
        <v>Spain</v>
      </c>
      <c r="E1057" s="14" t="s">
        <v>361</v>
      </c>
      <c r="F1057" s="14">
        <v>16</v>
      </c>
    </row>
    <row r="1058" spans="1:6" x14ac:dyDescent="0.3">
      <c r="A1058" s="14">
        <v>1057</v>
      </c>
      <c r="B1058" s="14" t="s">
        <v>1413</v>
      </c>
      <c r="C1058" s="14">
        <v>10</v>
      </c>
      <c r="D1058" s="14" t="str">
        <f>IFERROR(INDEX(Teams!$B$2:$B$49,MATCH($C1058,Teams!$A$2:$A$49,0)),"")</f>
        <v>Spain</v>
      </c>
      <c r="E1058" s="14" t="s">
        <v>363</v>
      </c>
      <c r="F1058" s="14">
        <v>17</v>
      </c>
    </row>
    <row r="1059" spans="1:6" x14ac:dyDescent="0.3">
      <c r="A1059" s="14">
        <v>1058</v>
      </c>
      <c r="B1059" s="14" t="s">
        <v>1414</v>
      </c>
      <c r="C1059" s="14">
        <v>10</v>
      </c>
      <c r="D1059" s="14" t="str">
        <f>IFERROR(INDEX(Teams!$B$2:$B$49,MATCH($C1059,Teams!$A$2:$A$49,0)),"")</f>
        <v>Spain</v>
      </c>
      <c r="E1059" s="14" t="s">
        <v>361</v>
      </c>
      <c r="F1059" s="14">
        <v>18</v>
      </c>
    </row>
    <row r="1060" spans="1:6" x14ac:dyDescent="0.3">
      <c r="A1060" s="14">
        <v>1059</v>
      </c>
      <c r="B1060" s="14" t="s">
        <v>1415</v>
      </c>
      <c r="C1060" s="14">
        <v>10</v>
      </c>
      <c r="D1060" s="14" t="str">
        <f>IFERROR(INDEX(Teams!$B$2:$B$49,MATCH($C1060,Teams!$A$2:$A$49,0)),"")</f>
        <v>Spain</v>
      </c>
      <c r="E1060" s="14" t="s">
        <v>363</v>
      </c>
      <c r="F1060" s="14">
        <v>19</v>
      </c>
    </row>
    <row r="1061" spans="1:6" x14ac:dyDescent="0.3">
      <c r="A1061" s="14">
        <v>1060</v>
      </c>
      <c r="B1061" s="14" t="s">
        <v>1416</v>
      </c>
      <c r="C1061" s="14">
        <v>10</v>
      </c>
      <c r="D1061" s="14" t="str">
        <f>IFERROR(INDEX(Teams!$B$2:$B$49,MATCH($C1061,Teams!$A$2:$A$49,0)),"")</f>
        <v>Spain</v>
      </c>
      <c r="E1061" s="14" t="s">
        <v>361</v>
      </c>
      <c r="F1061" s="14">
        <v>20</v>
      </c>
    </row>
    <row r="1062" spans="1:6" x14ac:dyDescent="0.3">
      <c r="A1062" s="14">
        <v>1061</v>
      </c>
      <c r="B1062" s="14" t="s">
        <v>1417</v>
      </c>
      <c r="C1062" s="14">
        <v>10</v>
      </c>
      <c r="D1062" s="14" t="str">
        <f>IFERROR(INDEX(Teams!$B$2:$B$49,MATCH($C1062,Teams!$A$2:$A$49,0)),"")</f>
        <v>Spain</v>
      </c>
      <c r="E1062" s="14" t="s">
        <v>363</v>
      </c>
      <c r="F1062" s="14">
        <v>21</v>
      </c>
    </row>
    <row r="1063" spans="1:6" x14ac:dyDescent="0.3">
      <c r="A1063" s="14">
        <v>1062</v>
      </c>
      <c r="B1063" s="14" t="s">
        <v>1418</v>
      </c>
      <c r="C1063" s="14">
        <v>10</v>
      </c>
      <c r="D1063" s="14" t="str">
        <f>IFERROR(INDEX(Teams!$B$2:$B$49,MATCH($C1063,Teams!$A$2:$A$49,0)),"")</f>
        <v>Spain</v>
      </c>
      <c r="E1063" s="14" t="s">
        <v>356</v>
      </c>
      <c r="F1063" s="14">
        <v>22</v>
      </c>
    </row>
    <row r="1064" spans="1:6" x14ac:dyDescent="0.3">
      <c r="A1064" s="14">
        <v>1063</v>
      </c>
      <c r="B1064" s="14" t="s">
        <v>1419</v>
      </c>
      <c r="C1064" s="14">
        <v>10</v>
      </c>
      <c r="D1064" s="14" t="str">
        <f>IFERROR(INDEX(Teams!$B$2:$B$49,MATCH($C1064,Teams!$A$2:$A$49,0)),"")</f>
        <v>Spain</v>
      </c>
      <c r="E1064" s="14" t="s">
        <v>354</v>
      </c>
      <c r="F1064" s="14">
        <v>23</v>
      </c>
    </row>
    <row r="1065" spans="1:6" x14ac:dyDescent="0.3">
      <c r="A1065" s="14">
        <v>1064</v>
      </c>
      <c r="B1065" s="14" t="s">
        <v>1420</v>
      </c>
      <c r="C1065" s="14">
        <v>10</v>
      </c>
      <c r="D1065" s="14" t="str">
        <f>IFERROR(INDEX(Teams!$B$2:$B$49,MATCH($C1065,Teams!$A$2:$A$49,0)),"")</f>
        <v>Spain</v>
      </c>
      <c r="E1065" s="14" t="s">
        <v>356</v>
      </c>
      <c r="F1065" s="14">
        <v>24</v>
      </c>
    </row>
    <row r="1066" spans="1:6" x14ac:dyDescent="0.3">
      <c r="A1066" s="14">
        <v>1065</v>
      </c>
      <c r="B1066" s="14" t="s">
        <v>1421</v>
      </c>
      <c r="C1066" s="14">
        <v>10</v>
      </c>
      <c r="D1066" s="14" t="str">
        <f>IFERROR(INDEX(Teams!$B$2:$B$49,MATCH($C1066,Teams!$A$2:$A$49,0)),"")</f>
        <v>Spain</v>
      </c>
      <c r="E1066" s="14" t="s">
        <v>363</v>
      </c>
      <c r="F1066" s="14">
        <v>25</v>
      </c>
    </row>
    <row r="1067" spans="1:6" x14ac:dyDescent="0.3">
      <c r="A1067" s="14">
        <v>1066</v>
      </c>
      <c r="B1067" s="14" t="s">
        <v>1422</v>
      </c>
      <c r="C1067" s="14">
        <v>10</v>
      </c>
      <c r="D1067" s="14" t="str">
        <f>IFERROR(INDEX(Teams!$B$2:$B$49,MATCH($C1067,Teams!$A$2:$A$49,0)),"")</f>
        <v>Spain</v>
      </c>
      <c r="E1067" s="14" t="s">
        <v>363</v>
      </c>
      <c r="F1067" s="14">
        <v>26</v>
      </c>
    </row>
    <row r="1068" spans="1:6" x14ac:dyDescent="0.3">
      <c r="A1068" s="14">
        <v>1067</v>
      </c>
      <c r="B1068" s="14" t="s">
        <v>1423</v>
      </c>
      <c r="C1068" s="14">
        <v>35</v>
      </c>
      <c r="D1068" s="14" t="str">
        <f>IFERROR(INDEX(Teams!$B$2:$B$49,MATCH($C1068,Teams!$A$2:$A$49,0)),"")</f>
        <v>Sweden</v>
      </c>
      <c r="E1068" s="14" t="s">
        <v>354</v>
      </c>
      <c r="F1068" s="14">
        <v>1</v>
      </c>
    </row>
    <row r="1069" spans="1:6" x14ac:dyDescent="0.3">
      <c r="A1069" s="14">
        <v>1068</v>
      </c>
      <c r="B1069" s="14" t="s">
        <v>1424</v>
      </c>
      <c r="C1069" s="14">
        <v>35</v>
      </c>
      <c r="D1069" s="14" t="str">
        <f>IFERROR(INDEX(Teams!$B$2:$B$49,MATCH($C1069,Teams!$A$2:$A$49,0)),"")</f>
        <v>Sweden</v>
      </c>
      <c r="E1069" s="14" t="s">
        <v>356</v>
      </c>
      <c r="F1069" s="14">
        <v>2</v>
      </c>
    </row>
    <row r="1070" spans="1:6" x14ac:dyDescent="0.3">
      <c r="A1070" s="14">
        <v>1069</v>
      </c>
      <c r="B1070" s="14" t="s">
        <v>1425</v>
      </c>
      <c r="C1070" s="14">
        <v>35</v>
      </c>
      <c r="D1070" s="14" t="str">
        <f>IFERROR(INDEX(Teams!$B$2:$B$49,MATCH($C1070,Teams!$A$2:$A$49,0)),"")</f>
        <v>Sweden</v>
      </c>
      <c r="E1070" s="14" t="s">
        <v>356</v>
      </c>
      <c r="F1070" s="14">
        <v>3</v>
      </c>
    </row>
    <row r="1071" spans="1:6" x14ac:dyDescent="0.3">
      <c r="A1071" s="14">
        <v>1070</v>
      </c>
      <c r="B1071" s="14" t="s">
        <v>1426</v>
      </c>
      <c r="C1071" s="14">
        <v>35</v>
      </c>
      <c r="D1071" s="14" t="str">
        <f>IFERROR(INDEX(Teams!$B$2:$B$49,MATCH($C1071,Teams!$A$2:$A$49,0)),"")</f>
        <v>Sweden</v>
      </c>
      <c r="E1071" s="14" t="s">
        <v>356</v>
      </c>
      <c r="F1071" s="14">
        <v>4</v>
      </c>
    </row>
    <row r="1072" spans="1:6" x14ac:dyDescent="0.3">
      <c r="A1072" s="14">
        <v>1071</v>
      </c>
      <c r="B1072" s="14" t="s">
        <v>1427</v>
      </c>
      <c r="C1072" s="14">
        <v>35</v>
      </c>
      <c r="D1072" s="14" t="str">
        <f>IFERROR(INDEX(Teams!$B$2:$B$49,MATCH($C1072,Teams!$A$2:$A$49,0)),"")</f>
        <v>Sweden</v>
      </c>
      <c r="E1072" s="14" t="s">
        <v>356</v>
      </c>
      <c r="F1072" s="14">
        <v>5</v>
      </c>
    </row>
    <row r="1073" spans="1:6" x14ac:dyDescent="0.3">
      <c r="A1073" s="14">
        <v>1072</v>
      </c>
      <c r="B1073" s="14" t="s">
        <v>1428</v>
      </c>
      <c r="C1073" s="14">
        <v>35</v>
      </c>
      <c r="D1073" s="14" t="str">
        <f>IFERROR(INDEX(Teams!$B$2:$B$49,MATCH($C1073,Teams!$A$2:$A$49,0)),"")</f>
        <v>Sweden</v>
      </c>
      <c r="E1073" s="14" t="s">
        <v>356</v>
      </c>
      <c r="F1073" s="14">
        <v>6</v>
      </c>
    </row>
    <row r="1074" spans="1:6" x14ac:dyDescent="0.3">
      <c r="A1074" s="14">
        <v>1073</v>
      </c>
      <c r="B1074" s="14" t="s">
        <v>1429</v>
      </c>
      <c r="C1074" s="14">
        <v>35</v>
      </c>
      <c r="D1074" s="14" t="str">
        <f>IFERROR(INDEX(Teams!$B$2:$B$49,MATCH($C1074,Teams!$A$2:$A$49,0)),"")</f>
        <v>Sweden</v>
      </c>
      <c r="E1074" s="14" t="s">
        <v>361</v>
      </c>
      <c r="F1074" s="14">
        <v>7</v>
      </c>
    </row>
    <row r="1075" spans="1:6" x14ac:dyDescent="0.3">
      <c r="A1075" s="14">
        <v>1074</v>
      </c>
      <c r="B1075" s="14" t="s">
        <v>1430</v>
      </c>
      <c r="C1075" s="14">
        <v>35</v>
      </c>
      <c r="D1075" s="14" t="str">
        <f>IFERROR(INDEX(Teams!$B$2:$B$49,MATCH($C1075,Teams!$A$2:$A$49,0)),"")</f>
        <v>Sweden</v>
      </c>
      <c r="E1075" s="14" t="s">
        <v>356</v>
      </c>
      <c r="F1075" s="14">
        <v>8</v>
      </c>
    </row>
    <row r="1076" spans="1:6" x14ac:dyDescent="0.3">
      <c r="A1076" s="14">
        <v>1075</v>
      </c>
      <c r="B1076" s="14" t="s">
        <v>1431</v>
      </c>
      <c r="C1076" s="14">
        <v>35</v>
      </c>
      <c r="D1076" s="14" t="str">
        <f>IFERROR(INDEX(Teams!$B$2:$B$49,MATCH($C1076,Teams!$A$2:$A$49,0)),"")</f>
        <v>Sweden</v>
      </c>
      <c r="E1076" s="14" t="s">
        <v>363</v>
      </c>
      <c r="F1076" s="14">
        <v>9</v>
      </c>
    </row>
    <row r="1077" spans="1:6" x14ac:dyDescent="0.3">
      <c r="A1077" s="14">
        <v>1076</v>
      </c>
      <c r="B1077" s="14" t="s">
        <v>1432</v>
      </c>
      <c r="C1077" s="14">
        <v>35</v>
      </c>
      <c r="D1077" s="14" t="str">
        <f>IFERROR(INDEX(Teams!$B$2:$B$49,MATCH($C1077,Teams!$A$2:$A$49,0)),"")</f>
        <v>Sweden</v>
      </c>
      <c r="E1077" s="14" t="s">
        <v>361</v>
      </c>
      <c r="F1077" s="14">
        <v>10</v>
      </c>
    </row>
    <row r="1078" spans="1:6" x14ac:dyDescent="0.3">
      <c r="A1078" s="14">
        <v>1077</v>
      </c>
      <c r="B1078" s="14" t="s">
        <v>1433</v>
      </c>
      <c r="C1078" s="14">
        <v>35</v>
      </c>
      <c r="D1078" s="14" t="str">
        <f>IFERROR(INDEX(Teams!$B$2:$B$49,MATCH($C1078,Teams!$A$2:$A$49,0)),"")</f>
        <v>Sweden</v>
      </c>
      <c r="E1078" s="14" t="s">
        <v>363</v>
      </c>
      <c r="F1078" s="14">
        <v>11</v>
      </c>
    </row>
    <row r="1079" spans="1:6" x14ac:dyDescent="0.3">
      <c r="A1079" s="14">
        <v>1078</v>
      </c>
      <c r="B1079" s="14" t="s">
        <v>1434</v>
      </c>
      <c r="C1079" s="14">
        <v>35</v>
      </c>
      <c r="D1079" s="14" t="str">
        <f>IFERROR(INDEX(Teams!$B$2:$B$49,MATCH($C1079,Teams!$A$2:$A$49,0)),"")</f>
        <v>Sweden</v>
      </c>
      <c r="E1079" s="14" t="s">
        <v>354</v>
      </c>
      <c r="F1079" s="14">
        <v>12</v>
      </c>
    </row>
    <row r="1080" spans="1:6" x14ac:dyDescent="0.3">
      <c r="A1080" s="14">
        <v>1079</v>
      </c>
      <c r="B1080" s="14" t="s">
        <v>1435</v>
      </c>
      <c r="C1080" s="14">
        <v>35</v>
      </c>
      <c r="D1080" s="14" t="str">
        <f>IFERROR(INDEX(Teams!$B$2:$B$49,MATCH($C1080,Teams!$A$2:$A$49,0)),"")</f>
        <v>Sweden</v>
      </c>
      <c r="E1080" s="14" t="s">
        <v>361</v>
      </c>
      <c r="F1080" s="14">
        <v>13</v>
      </c>
    </row>
    <row r="1081" spans="1:6" x14ac:dyDescent="0.3">
      <c r="A1081" s="14">
        <v>1080</v>
      </c>
      <c r="B1081" s="14" t="s">
        <v>1436</v>
      </c>
      <c r="C1081" s="14">
        <v>35</v>
      </c>
      <c r="D1081" s="14" t="str">
        <f>IFERROR(INDEX(Teams!$B$2:$B$49,MATCH($C1081,Teams!$A$2:$A$49,0)),"")</f>
        <v>Sweden</v>
      </c>
      <c r="E1081" s="14" t="s">
        <v>356</v>
      </c>
      <c r="F1081" s="14">
        <v>14</v>
      </c>
    </row>
    <row r="1082" spans="1:6" x14ac:dyDescent="0.3">
      <c r="A1082" s="14">
        <v>1081</v>
      </c>
      <c r="B1082" s="14" t="s">
        <v>1437</v>
      </c>
      <c r="C1082" s="14">
        <v>35</v>
      </c>
      <c r="D1082" s="14" t="str">
        <f>IFERROR(INDEX(Teams!$B$2:$B$49,MATCH($C1082,Teams!$A$2:$A$49,0)),"")</f>
        <v>Sweden</v>
      </c>
      <c r="E1082" s="14" t="s">
        <v>356</v>
      </c>
      <c r="F1082" s="14">
        <v>15</v>
      </c>
    </row>
    <row r="1083" spans="1:6" x14ac:dyDescent="0.3">
      <c r="A1083" s="14">
        <v>1082</v>
      </c>
      <c r="B1083" s="14" t="s">
        <v>1438</v>
      </c>
      <c r="C1083" s="14">
        <v>35</v>
      </c>
      <c r="D1083" s="14" t="str">
        <f>IFERROR(INDEX(Teams!$B$2:$B$49,MATCH($C1083,Teams!$A$2:$A$49,0)),"")</f>
        <v>Sweden</v>
      </c>
      <c r="E1083" s="14" t="s">
        <v>361</v>
      </c>
      <c r="F1083" s="14">
        <v>16</v>
      </c>
    </row>
    <row r="1084" spans="1:6" x14ac:dyDescent="0.3">
      <c r="A1084" s="14">
        <v>1083</v>
      </c>
      <c r="B1084" s="14" t="s">
        <v>1439</v>
      </c>
      <c r="C1084" s="14">
        <v>35</v>
      </c>
      <c r="D1084" s="14" t="str">
        <f>IFERROR(INDEX(Teams!$B$2:$B$49,MATCH($C1084,Teams!$A$2:$A$49,0)),"")</f>
        <v>Sweden</v>
      </c>
      <c r="E1084" s="14" t="s">
        <v>363</v>
      </c>
      <c r="F1084" s="14">
        <v>17</v>
      </c>
    </row>
    <row r="1085" spans="1:6" x14ac:dyDescent="0.3">
      <c r="A1085" s="14">
        <v>1084</v>
      </c>
      <c r="B1085" s="14" t="s">
        <v>1440</v>
      </c>
      <c r="C1085" s="14">
        <v>35</v>
      </c>
      <c r="D1085" s="14" t="str">
        <f>IFERROR(INDEX(Teams!$B$2:$B$49,MATCH($C1085,Teams!$A$2:$A$49,0)),"")</f>
        <v>Sweden</v>
      </c>
      <c r="E1085" s="14" t="s">
        <v>361</v>
      </c>
      <c r="F1085" s="14">
        <v>18</v>
      </c>
    </row>
    <row r="1086" spans="1:6" x14ac:dyDescent="0.3">
      <c r="A1086" s="14">
        <v>1085</v>
      </c>
      <c r="B1086" s="14" t="s">
        <v>1441</v>
      </c>
      <c r="C1086" s="14">
        <v>35</v>
      </c>
      <c r="D1086" s="14" t="str">
        <f>IFERROR(INDEX(Teams!$B$2:$B$49,MATCH($C1086,Teams!$A$2:$A$49,0)),"")</f>
        <v>Sweden</v>
      </c>
      <c r="E1086" s="14" t="s">
        <v>361</v>
      </c>
      <c r="F1086" s="14">
        <v>19</v>
      </c>
    </row>
    <row r="1087" spans="1:6" x14ac:dyDescent="0.3">
      <c r="A1087" s="14">
        <v>1086</v>
      </c>
      <c r="B1087" s="14" t="s">
        <v>1442</v>
      </c>
      <c r="C1087" s="14">
        <v>35</v>
      </c>
      <c r="D1087" s="14" t="str">
        <f>IFERROR(INDEX(Teams!$B$2:$B$49,MATCH($C1087,Teams!$A$2:$A$49,0)),"")</f>
        <v>Sweden</v>
      </c>
      <c r="E1087" s="14" t="s">
        <v>356</v>
      </c>
      <c r="F1087" s="14">
        <v>20</v>
      </c>
    </row>
    <row r="1088" spans="1:6" x14ac:dyDescent="0.3">
      <c r="A1088" s="14">
        <v>1087</v>
      </c>
      <c r="B1088" s="14" t="s">
        <v>1443</v>
      </c>
      <c r="C1088" s="14">
        <v>35</v>
      </c>
      <c r="D1088" s="14" t="str">
        <f>IFERROR(INDEX(Teams!$B$2:$B$49,MATCH($C1088,Teams!$A$2:$A$49,0)),"")</f>
        <v>Sweden</v>
      </c>
      <c r="E1088" s="14" t="s">
        <v>356</v>
      </c>
      <c r="F1088" s="14">
        <v>21</v>
      </c>
    </row>
    <row r="1089" spans="1:6" x14ac:dyDescent="0.3">
      <c r="A1089" s="14">
        <v>1088</v>
      </c>
      <c r="B1089" s="14" t="s">
        <v>1444</v>
      </c>
      <c r="C1089" s="14">
        <v>35</v>
      </c>
      <c r="D1089" s="14" t="str">
        <f>IFERROR(INDEX(Teams!$B$2:$B$49,MATCH($C1089,Teams!$A$2:$A$49,0)),"")</f>
        <v>Sweden</v>
      </c>
      <c r="E1089" s="14" t="s">
        <v>361</v>
      </c>
      <c r="F1089" s="14">
        <v>22</v>
      </c>
    </row>
    <row r="1090" spans="1:6" x14ac:dyDescent="0.3">
      <c r="A1090" s="14">
        <v>1089</v>
      </c>
      <c r="B1090" s="14" t="s">
        <v>1445</v>
      </c>
      <c r="C1090" s="14">
        <v>35</v>
      </c>
      <c r="D1090" s="14" t="str">
        <f>IFERROR(INDEX(Teams!$B$2:$B$49,MATCH($C1090,Teams!$A$2:$A$49,0)),"")</f>
        <v>Sweden</v>
      </c>
      <c r="E1090" s="14" t="s">
        <v>354</v>
      </c>
      <c r="F1090" s="14">
        <v>23</v>
      </c>
    </row>
    <row r="1091" spans="1:6" x14ac:dyDescent="0.3">
      <c r="A1091" s="14">
        <v>1090</v>
      </c>
      <c r="B1091" s="14" t="s">
        <v>1446</v>
      </c>
      <c r="C1091" s="14">
        <v>35</v>
      </c>
      <c r="D1091" s="14" t="str">
        <f>IFERROR(INDEX(Teams!$B$2:$B$49,MATCH($C1091,Teams!$A$2:$A$49,0)),"")</f>
        <v>Sweden</v>
      </c>
      <c r="E1091" s="14" t="s">
        <v>356</v>
      </c>
      <c r="F1091" s="14">
        <v>24</v>
      </c>
    </row>
    <row r="1092" spans="1:6" x14ac:dyDescent="0.3">
      <c r="A1092" s="14">
        <v>1091</v>
      </c>
      <c r="B1092" s="14" t="s">
        <v>1447</v>
      </c>
      <c r="C1092" s="14">
        <v>35</v>
      </c>
      <c r="D1092" s="14" t="str">
        <f>IFERROR(INDEX(Teams!$B$2:$B$49,MATCH($C1092,Teams!$A$2:$A$49,0)),"")</f>
        <v>Sweden</v>
      </c>
      <c r="E1092" s="14" t="s">
        <v>363</v>
      </c>
      <c r="F1092" s="14">
        <v>25</v>
      </c>
    </row>
    <row r="1093" spans="1:6" x14ac:dyDescent="0.3">
      <c r="A1093" s="14">
        <v>1092</v>
      </c>
      <c r="B1093" s="14" t="s">
        <v>1448</v>
      </c>
      <c r="C1093" s="14">
        <v>35</v>
      </c>
      <c r="D1093" s="14" t="str">
        <f>IFERROR(INDEX(Teams!$B$2:$B$49,MATCH($C1093,Teams!$A$2:$A$49,0)),"")</f>
        <v>Sweden</v>
      </c>
      <c r="E1093" s="14" t="s">
        <v>363</v>
      </c>
      <c r="F1093" s="14">
        <v>26</v>
      </c>
    </row>
    <row r="1094" spans="1:6" x14ac:dyDescent="0.3">
      <c r="A1094" s="14">
        <v>1093</v>
      </c>
      <c r="B1094" s="14" t="s">
        <v>1449</v>
      </c>
      <c r="C1094" s="14">
        <v>11</v>
      </c>
      <c r="D1094" s="14" t="str">
        <f>IFERROR(INDEX(Teams!$B$2:$B$49,MATCH($C1094,Teams!$A$2:$A$49,0)),"")</f>
        <v>Switzerland</v>
      </c>
      <c r="E1094" s="14" t="s">
        <v>354</v>
      </c>
      <c r="F1094" s="14">
        <v>1</v>
      </c>
    </row>
    <row r="1095" spans="1:6" x14ac:dyDescent="0.3">
      <c r="A1095" s="14">
        <v>1094</v>
      </c>
      <c r="B1095" s="14" t="s">
        <v>1450</v>
      </c>
      <c r="C1095" s="14">
        <v>11</v>
      </c>
      <c r="D1095" s="14" t="str">
        <f>IFERROR(INDEX(Teams!$B$2:$B$49,MATCH($C1095,Teams!$A$2:$A$49,0)),"")</f>
        <v>Switzerland</v>
      </c>
      <c r="E1095" s="14" t="s">
        <v>356</v>
      </c>
      <c r="F1095" s="14">
        <v>2</v>
      </c>
    </row>
    <row r="1096" spans="1:6" x14ac:dyDescent="0.3">
      <c r="A1096" s="14">
        <v>1095</v>
      </c>
      <c r="B1096" s="14" t="s">
        <v>1451</v>
      </c>
      <c r="C1096" s="14">
        <v>11</v>
      </c>
      <c r="D1096" s="14" t="str">
        <f>IFERROR(INDEX(Teams!$B$2:$B$49,MATCH($C1096,Teams!$A$2:$A$49,0)),"")</f>
        <v>Switzerland</v>
      </c>
      <c r="E1096" s="14" t="s">
        <v>356</v>
      </c>
      <c r="F1096" s="14">
        <v>3</v>
      </c>
    </row>
    <row r="1097" spans="1:6" x14ac:dyDescent="0.3">
      <c r="A1097" s="14">
        <v>1096</v>
      </c>
      <c r="B1097" s="14" t="s">
        <v>1452</v>
      </c>
      <c r="C1097" s="14">
        <v>11</v>
      </c>
      <c r="D1097" s="14" t="str">
        <f>IFERROR(INDEX(Teams!$B$2:$B$49,MATCH($C1097,Teams!$A$2:$A$49,0)),"")</f>
        <v>Switzerland</v>
      </c>
      <c r="E1097" s="14" t="s">
        <v>356</v>
      </c>
      <c r="F1097" s="14">
        <v>4</v>
      </c>
    </row>
    <row r="1098" spans="1:6" x14ac:dyDescent="0.3">
      <c r="A1098" s="14">
        <v>1097</v>
      </c>
      <c r="B1098" s="14" t="s">
        <v>1453</v>
      </c>
      <c r="C1098" s="14">
        <v>11</v>
      </c>
      <c r="D1098" s="14" t="str">
        <f>IFERROR(INDEX(Teams!$B$2:$B$49,MATCH($C1098,Teams!$A$2:$A$49,0)),"")</f>
        <v>Switzerland</v>
      </c>
      <c r="E1098" s="14" t="s">
        <v>356</v>
      </c>
      <c r="F1098" s="14">
        <v>5</v>
      </c>
    </row>
    <row r="1099" spans="1:6" x14ac:dyDescent="0.3">
      <c r="A1099" s="14">
        <v>1098</v>
      </c>
      <c r="B1099" s="14" t="s">
        <v>1454</v>
      </c>
      <c r="C1099" s="14">
        <v>11</v>
      </c>
      <c r="D1099" s="14" t="str">
        <f>IFERROR(INDEX(Teams!$B$2:$B$49,MATCH($C1099,Teams!$A$2:$A$49,0)),"")</f>
        <v>Switzerland</v>
      </c>
      <c r="E1099" s="14" t="s">
        <v>361</v>
      </c>
      <c r="F1099" s="14">
        <v>6</v>
      </c>
    </row>
    <row r="1100" spans="1:6" x14ac:dyDescent="0.3">
      <c r="A1100" s="14">
        <v>1099</v>
      </c>
      <c r="B1100" s="14" t="s">
        <v>1455</v>
      </c>
      <c r="C1100" s="14">
        <v>11</v>
      </c>
      <c r="D1100" s="14" t="str">
        <f>IFERROR(INDEX(Teams!$B$2:$B$49,MATCH($C1100,Teams!$A$2:$A$49,0)),"")</f>
        <v>Switzerland</v>
      </c>
      <c r="E1100" s="14" t="s">
        <v>363</v>
      </c>
      <c r="F1100" s="14">
        <v>7</v>
      </c>
    </row>
    <row r="1101" spans="1:6" x14ac:dyDescent="0.3">
      <c r="A1101" s="14">
        <v>1100</v>
      </c>
      <c r="B1101" s="14" t="s">
        <v>1456</v>
      </c>
      <c r="C1101" s="14">
        <v>11</v>
      </c>
      <c r="D1101" s="14" t="str">
        <f>IFERROR(INDEX(Teams!$B$2:$B$49,MATCH($C1101,Teams!$A$2:$A$49,0)),"")</f>
        <v>Switzerland</v>
      </c>
      <c r="E1101" s="14" t="s">
        <v>361</v>
      </c>
      <c r="F1101" s="14">
        <v>8</v>
      </c>
    </row>
    <row r="1102" spans="1:6" x14ac:dyDescent="0.3">
      <c r="A1102" s="14">
        <v>1101</v>
      </c>
      <c r="B1102" s="14" t="s">
        <v>1457</v>
      </c>
      <c r="C1102" s="14">
        <v>11</v>
      </c>
      <c r="D1102" s="14" t="str">
        <f>IFERROR(INDEX(Teams!$B$2:$B$49,MATCH($C1102,Teams!$A$2:$A$49,0)),"")</f>
        <v>Switzerland</v>
      </c>
      <c r="E1102" s="14" t="s">
        <v>361</v>
      </c>
      <c r="F1102" s="14">
        <v>9</v>
      </c>
    </row>
    <row r="1103" spans="1:6" x14ac:dyDescent="0.3">
      <c r="A1103" s="14">
        <v>1102</v>
      </c>
      <c r="B1103" s="14" t="s">
        <v>1458</v>
      </c>
      <c r="C1103" s="14">
        <v>11</v>
      </c>
      <c r="D1103" s="14" t="str">
        <f>IFERROR(INDEX(Teams!$B$2:$B$49,MATCH($C1103,Teams!$A$2:$A$49,0)),"")</f>
        <v>Switzerland</v>
      </c>
      <c r="E1103" s="14" t="s">
        <v>361</v>
      </c>
      <c r="F1103" s="14">
        <v>10</v>
      </c>
    </row>
    <row r="1104" spans="1:6" x14ac:dyDescent="0.3">
      <c r="A1104" s="14">
        <v>1103</v>
      </c>
      <c r="B1104" s="14" t="s">
        <v>1459</v>
      </c>
      <c r="C1104" s="14">
        <v>11</v>
      </c>
      <c r="D1104" s="14" t="str">
        <f>IFERROR(INDEX(Teams!$B$2:$B$49,MATCH($C1104,Teams!$A$2:$A$49,0)),"")</f>
        <v>Switzerland</v>
      </c>
      <c r="E1104" s="14" t="s">
        <v>363</v>
      </c>
      <c r="F1104" s="14">
        <v>11</v>
      </c>
    </row>
    <row r="1105" spans="1:6" x14ac:dyDescent="0.3">
      <c r="A1105" s="14">
        <v>1104</v>
      </c>
      <c r="B1105" s="14" t="s">
        <v>1460</v>
      </c>
      <c r="C1105" s="14">
        <v>11</v>
      </c>
      <c r="D1105" s="14" t="str">
        <f>IFERROR(INDEX(Teams!$B$2:$B$49,MATCH($C1105,Teams!$A$2:$A$49,0)),"")</f>
        <v>Switzerland</v>
      </c>
      <c r="E1105" s="14" t="s">
        <v>354</v>
      </c>
      <c r="F1105" s="14">
        <v>12</v>
      </c>
    </row>
    <row r="1106" spans="1:6" x14ac:dyDescent="0.3">
      <c r="A1106" s="14">
        <v>1105</v>
      </c>
      <c r="B1106" s="14" t="s">
        <v>1461</v>
      </c>
      <c r="C1106" s="14">
        <v>11</v>
      </c>
      <c r="D1106" s="14" t="str">
        <f>IFERROR(INDEX(Teams!$B$2:$B$49,MATCH($C1106,Teams!$A$2:$A$49,0)),"")</f>
        <v>Switzerland</v>
      </c>
      <c r="E1106" s="14" t="s">
        <v>356</v>
      </c>
      <c r="F1106" s="14">
        <v>13</v>
      </c>
    </row>
    <row r="1107" spans="1:6" x14ac:dyDescent="0.3">
      <c r="A1107" s="14">
        <v>1106</v>
      </c>
      <c r="B1107" s="14" t="s">
        <v>1462</v>
      </c>
      <c r="C1107" s="14">
        <v>11</v>
      </c>
      <c r="D1107" s="14" t="str">
        <f>IFERROR(INDEX(Teams!$B$2:$B$49,MATCH($C1107,Teams!$A$2:$A$49,0)),"")</f>
        <v>Switzerland</v>
      </c>
      <c r="E1107" s="14" t="s">
        <v>361</v>
      </c>
      <c r="F1107" s="14">
        <v>14</v>
      </c>
    </row>
    <row r="1108" spans="1:6" x14ac:dyDescent="0.3">
      <c r="A1108" s="14">
        <v>1107</v>
      </c>
      <c r="B1108" s="14" t="s">
        <v>1463</v>
      </c>
      <c r="C1108" s="14">
        <v>11</v>
      </c>
      <c r="D1108" s="14" t="str">
        <f>IFERROR(INDEX(Teams!$B$2:$B$49,MATCH($C1108,Teams!$A$2:$A$49,0)),"")</f>
        <v>Switzerland</v>
      </c>
      <c r="E1108" s="14" t="s">
        <v>361</v>
      </c>
      <c r="F1108" s="14">
        <v>15</v>
      </c>
    </row>
    <row r="1109" spans="1:6" x14ac:dyDescent="0.3">
      <c r="A1109" s="14">
        <v>1108</v>
      </c>
      <c r="B1109" s="14" t="s">
        <v>1464</v>
      </c>
      <c r="C1109" s="14">
        <v>11</v>
      </c>
      <c r="D1109" s="14" t="str">
        <f>IFERROR(INDEX(Teams!$B$2:$B$49,MATCH($C1109,Teams!$A$2:$A$49,0)),"")</f>
        <v>Switzerland</v>
      </c>
      <c r="E1109" s="14" t="s">
        <v>363</v>
      </c>
      <c r="F1109" s="14">
        <v>16</v>
      </c>
    </row>
    <row r="1110" spans="1:6" x14ac:dyDescent="0.3">
      <c r="A1110" s="14">
        <v>1109</v>
      </c>
      <c r="B1110" s="14" t="s">
        <v>1465</v>
      </c>
      <c r="C1110" s="14">
        <v>11</v>
      </c>
      <c r="D1110" s="14" t="str">
        <f>IFERROR(INDEX(Teams!$B$2:$B$49,MATCH($C1110,Teams!$A$2:$A$49,0)),"")</f>
        <v>Switzerland</v>
      </c>
      <c r="E1110" s="14" t="s">
        <v>363</v>
      </c>
      <c r="F1110" s="14">
        <v>17</v>
      </c>
    </row>
    <row r="1111" spans="1:6" x14ac:dyDescent="0.3">
      <c r="A1111" s="14">
        <v>1110</v>
      </c>
      <c r="B1111" s="14" t="s">
        <v>1466</v>
      </c>
      <c r="C1111" s="14">
        <v>11</v>
      </c>
      <c r="D1111" s="14" t="str">
        <f>IFERROR(INDEX(Teams!$B$2:$B$49,MATCH($C1111,Teams!$A$2:$A$49,0)),"")</f>
        <v>Switzerland</v>
      </c>
      <c r="E1111" s="14" t="s">
        <v>356</v>
      </c>
      <c r="F1111" s="14">
        <v>18</v>
      </c>
    </row>
    <row r="1112" spans="1:6" x14ac:dyDescent="0.3">
      <c r="A1112" s="14">
        <v>1111</v>
      </c>
      <c r="B1112" s="14" t="s">
        <v>1467</v>
      </c>
      <c r="C1112" s="14">
        <v>11</v>
      </c>
      <c r="D1112" s="14" t="str">
        <f>IFERROR(INDEX(Teams!$B$2:$B$49,MATCH($C1112,Teams!$A$2:$A$49,0)),"")</f>
        <v>Switzerland</v>
      </c>
      <c r="E1112" s="14" t="s">
        <v>363</v>
      </c>
      <c r="F1112" s="14">
        <v>19</v>
      </c>
    </row>
    <row r="1113" spans="1:6" x14ac:dyDescent="0.3">
      <c r="A1113" s="14">
        <v>1112</v>
      </c>
      <c r="B1113" s="14" t="s">
        <v>1468</v>
      </c>
      <c r="C1113" s="14">
        <v>11</v>
      </c>
      <c r="D1113" s="14" t="str">
        <f>IFERROR(INDEX(Teams!$B$2:$B$49,MATCH($C1113,Teams!$A$2:$A$49,0)),"")</f>
        <v>Switzerland</v>
      </c>
      <c r="E1113" s="14" t="s">
        <v>361</v>
      </c>
      <c r="F1113" s="14">
        <v>20</v>
      </c>
    </row>
    <row r="1114" spans="1:6" x14ac:dyDescent="0.3">
      <c r="A1114" s="14">
        <v>1113</v>
      </c>
      <c r="B1114" s="14" t="s">
        <v>1469</v>
      </c>
      <c r="C1114" s="14">
        <v>11</v>
      </c>
      <c r="D1114" s="14" t="str">
        <f>IFERROR(INDEX(Teams!$B$2:$B$49,MATCH($C1114,Teams!$A$2:$A$49,0)),"")</f>
        <v>Switzerland</v>
      </c>
      <c r="E1114" s="14" t="s">
        <v>354</v>
      </c>
      <c r="F1114" s="14">
        <v>21</v>
      </c>
    </row>
    <row r="1115" spans="1:6" x14ac:dyDescent="0.3">
      <c r="A1115" s="14">
        <v>1114</v>
      </c>
      <c r="B1115" s="14" t="s">
        <v>1470</v>
      </c>
      <c r="C1115" s="14">
        <v>11</v>
      </c>
      <c r="D1115" s="14" t="str">
        <f>IFERROR(INDEX(Teams!$B$2:$B$49,MATCH($C1115,Teams!$A$2:$A$49,0)),"")</f>
        <v>Switzerland</v>
      </c>
      <c r="E1115" s="14" t="s">
        <v>361</v>
      </c>
      <c r="F1115" s="14">
        <v>22</v>
      </c>
    </row>
    <row r="1116" spans="1:6" x14ac:dyDescent="0.3">
      <c r="A1116" s="14">
        <v>1115</v>
      </c>
      <c r="B1116" s="14" t="s">
        <v>1471</v>
      </c>
      <c r="C1116" s="14">
        <v>11</v>
      </c>
      <c r="D1116" s="14" t="str">
        <f>IFERROR(INDEX(Teams!$B$2:$B$49,MATCH($C1116,Teams!$A$2:$A$49,0)),"")</f>
        <v>Switzerland</v>
      </c>
      <c r="E1116" s="14" t="s">
        <v>363</v>
      </c>
      <c r="F1116" s="14">
        <v>23</v>
      </c>
    </row>
    <row r="1117" spans="1:6" x14ac:dyDescent="0.3">
      <c r="A1117" s="14">
        <v>1116</v>
      </c>
      <c r="B1117" s="14" t="s">
        <v>1472</v>
      </c>
      <c r="C1117" s="14">
        <v>11</v>
      </c>
      <c r="D1117" s="14" t="str">
        <f>IFERROR(INDEX(Teams!$B$2:$B$49,MATCH($C1117,Teams!$A$2:$A$49,0)),"")</f>
        <v>Switzerland</v>
      </c>
      <c r="E1117" s="14" t="s">
        <v>356</v>
      </c>
      <c r="F1117" s="14">
        <v>24</v>
      </c>
    </row>
    <row r="1118" spans="1:6" x14ac:dyDescent="0.3">
      <c r="A1118" s="14">
        <v>1117</v>
      </c>
      <c r="B1118" s="14" t="s">
        <v>1473</v>
      </c>
      <c r="C1118" s="14">
        <v>11</v>
      </c>
      <c r="D1118" s="14" t="str">
        <f>IFERROR(INDEX(Teams!$B$2:$B$49,MATCH($C1118,Teams!$A$2:$A$49,0)),"")</f>
        <v>Switzerland</v>
      </c>
      <c r="E1118" s="14" t="s">
        <v>356</v>
      </c>
      <c r="F1118" s="14">
        <v>25</v>
      </c>
    </row>
    <row r="1119" spans="1:6" x14ac:dyDescent="0.3">
      <c r="A1119" s="14">
        <v>1118</v>
      </c>
      <c r="B1119" s="14" t="s">
        <v>1474</v>
      </c>
      <c r="C1119" s="14">
        <v>11</v>
      </c>
      <c r="D1119" s="14" t="str">
        <f>IFERROR(INDEX(Teams!$B$2:$B$49,MATCH($C1119,Teams!$A$2:$A$49,0)),"")</f>
        <v>Switzerland</v>
      </c>
      <c r="E1119" s="14" t="s">
        <v>363</v>
      </c>
      <c r="F1119" s="14">
        <v>26</v>
      </c>
    </row>
    <row r="1120" spans="1:6" x14ac:dyDescent="0.3">
      <c r="A1120" s="14">
        <v>1119</v>
      </c>
      <c r="B1120" s="14" t="s">
        <v>1475</v>
      </c>
      <c r="C1120" s="14">
        <v>46</v>
      </c>
      <c r="D1120" s="14" t="str">
        <f>IFERROR(INDEX(Teams!$B$2:$B$49,MATCH($C1120,Teams!$A$2:$A$49,0)),"")</f>
        <v>Tunisia</v>
      </c>
      <c r="E1120" s="14" t="s">
        <v>354</v>
      </c>
      <c r="F1120" s="14">
        <v>1</v>
      </c>
    </row>
    <row r="1121" spans="1:6" x14ac:dyDescent="0.3">
      <c r="A1121" s="14">
        <v>1120</v>
      </c>
      <c r="B1121" s="14" t="s">
        <v>1476</v>
      </c>
      <c r="C1121" s="14">
        <v>46</v>
      </c>
      <c r="D1121" s="14" t="str">
        <f>IFERROR(INDEX(Teams!$B$2:$B$49,MATCH($C1121,Teams!$A$2:$A$49,0)),"")</f>
        <v>Tunisia</v>
      </c>
      <c r="E1121" s="14" t="s">
        <v>356</v>
      </c>
      <c r="F1121" s="14">
        <v>2</v>
      </c>
    </row>
    <row r="1122" spans="1:6" x14ac:dyDescent="0.3">
      <c r="A1122" s="14">
        <v>1121</v>
      </c>
      <c r="B1122" s="14" t="s">
        <v>1477</v>
      </c>
      <c r="C1122" s="14">
        <v>46</v>
      </c>
      <c r="D1122" s="14" t="str">
        <f>IFERROR(INDEX(Teams!$B$2:$B$49,MATCH($C1122,Teams!$A$2:$A$49,0)),"")</f>
        <v>Tunisia</v>
      </c>
      <c r="E1122" s="14" t="s">
        <v>356</v>
      </c>
      <c r="F1122" s="14">
        <v>3</v>
      </c>
    </row>
    <row r="1123" spans="1:6" x14ac:dyDescent="0.3">
      <c r="A1123" s="14">
        <v>1122</v>
      </c>
      <c r="B1123" s="14" t="s">
        <v>1478</v>
      </c>
      <c r="C1123" s="14">
        <v>46</v>
      </c>
      <c r="D1123" s="14" t="str">
        <f>IFERROR(INDEX(Teams!$B$2:$B$49,MATCH($C1123,Teams!$A$2:$A$49,0)),"")</f>
        <v>Tunisia</v>
      </c>
      <c r="E1123" s="14" t="s">
        <v>356</v>
      </c>
      <c r="F1123" s="14">
        <v>4</v>
      </c>
    </row>
    <row r="1124" spans="1:6" x14ac:dyDescent="0.3">
      <c r="A1124" s="14">
        <v>1123</v>
      </c>
      <c r="B1124" s="14" t="s">
        <v>1479</v>
      </c>
      <c r="C1124" s="14">
        <v>46</v>
      </c>
      <c r="D1124" s="14" t="str">
        <f>IFERROR(INDEX(Teams!$B$2:$B$49,MATCH($C1124,Teams!$A$2:$A$49,0)),"")</f>
        <v>Tunisia</v>
      </c>
      <c r="E1124" s="14" t="s">
        <v>356</v>
      </c>
      <c r="F1124" s="14">
        <v>5</v>
      </c>
    </row>
    <row r="1125" spans="1:6" x14ac:dyDescent="0.3">
      <c r="A1125" s="14">
        <v>1124</v>
      </c>
      <c r="B1125" s="14" t="s">
        <v>1480</v>
      </c>
      <c r="C1125" s="14">
        <v>46</v>
      </c>
      <c r="D1125" s="14" t="str">
        <f>IFERROR(INDEX(Teams!$B$2:$B$49,MATCH($C1125,Teams!$A$2:$A$49,0)),"")</f>
        <v>Tunisia</v>
      </c>
      <c r="E1125" s="14" t="s">
        <v>356</v>
      </c>
      <c r="F1125" s="14">
        <v>6</v>
      </c>
    </row>
    <row r="1126" spans="1:6" x14ac:dyDescent="0.3">
      <c r="A1126" s="14">
        <v>1125</v>
      </c>
      <c r="B1126" s="14" t="s">
        <v>1481</v>
      </c>
      <c r="C1126" s="14">
        <v>46</v>
      </c>
      <c r="D1126" s="14" t="str">
        <f>IFERROR(INDEX(Teams!$B$2:$B$49,MATCH($C1126,Teams!$A$2:$A$49,0)),"")</f>
        <v>Tunisia</v>
      </c>
      <c r="E1126" s="14" t="s">
        <v>363</v>
      </c>
      <c r="F1126" s="14">
        <v>7</v>
      </c>
    </row>
    <row r="1127" spans="1:6" x14ac:dyDescent="0.3">
      <c r="A1127" s="14">
        <v>1126</v>
      </c>
      <c r="B1127" s="14" t="s">
        <v>1482</v>
      </c>
      <c r="C1127" s="14">
        <v>46</v>
      </c>
      <c r="D1127" s="14" t="str">
        <f>IFERROR(INDEX(Teams!$B$2:$B$49,MATCH($C1127,Teams!$A$2:$A$49,0)),"")</f>
        <v>Tunisia</v>
      </c>
      <c r="E1127" s="14" t="s">
        <v>363</v>
      </c>
      <c r="F1127" s="14">
        <v>8</v>
      </c>
    </row>
    <row r="1128" spans="1:6" x14ac:dyDescent="0.3">
      <c r="A1128" s="14">
        <v>1127</v>
      </c>
      <c r="B1128" s="14" t="s">
        <v>1483</v>
      </c>
      <c r="C1128" s="14">
        <v>46</v>
      </c>
      <c r="D1128" s="14" t="str">
        <f>IFERROR(INDEX(Teams!$B$2:$B$49,MATCH($C1128,Teams!$A$2:$A$49,0)),"")</f>
        <v>Tunisia</v>
      </c>
      <c r="E1128" s="14" t="s">
        <v>363</v>
      </c>
      <c r="F1128" s="14">
        <v>9</v>
      </c>
    </row>
    <row r="1129" spans="1:6" x14ac:dyDescent="0.3">
      <c r="A1129" s="14">
        <v>1128</v>
      </c>
      <c r="B1129" s="14" t="s">
        <v>1484</v>
      </c>
      <c r="C1129" s="14">
        <v>46</v>
      </c>
      <c r="D1129" s="14" t="str">
        <f>IFERROR(INDEX(Teams!$B$2:$B$49,MATCH($C1129,Teams!$A$2:$A$49,0)),"")</f>
        <v>Tunisia</v>
      </c>
      <c r="E1129" s="14" t="s">
        <v>361</v>
      </c>
      <c r="F1129" s="14">
        <v>10</v>
      </c>
    </row>
    <row r="1130" spans="1:6" x14ac:dyDescent="0.3">
      <c r="A1130" s="14">
        <v>1129</v>
      </c>
      <c r="B1130" s="14" t="s">
        <v>1485</v>
      </c>
      <c r="C1130" s="14">
        <v>46</v>
      </c>
      <c r="D1130" s="14" t="str">
        <f>IFERROR(INDEX(Teams!$B$2:$B$49,MATCH($C1130,Teams!$A$2:$A$49,0)),"")</f>
        <v>Tunisia</v>
      </c>
      <c r="E1130" s="14" t="s">
        <v>361</v>
      </c>
      <c r="F1130" s="14">
        <v>11</v>
      </c>
    </row>
    <row r="1131" spans="1:6" x14ac:dyDescent="0.3">
      <c r="A1131" s="14">
        <v>1130</v>
      </c>
      <c r="B1131" s="14" t="s">
        <v>1486</v>
      </c>
      <c r="C1131" s="14">
        <v>46</v>
      </c>
      <c r="D1131" s="14" t="str">
        <f>IFERROR(INDEX(Teams!$B$2:$B$49,MATCH($C1131,Teams!$A$2:$A$49,0)),"")</f>
        <v>Tunisia</v>
      </c>
      <c r="E1131" s="14" t="s">
        <v>356</v>
      </c>
      <c r="F1131" s="14">
        <v>12</v>
      </c>
    </row>
    <row r="1132" spans="1:6" x14ac:dyDescent="0.3">
      <c r="A1132" s="14">
        <v>1131</v>
      </c>
      <c r="B1132" s="14" t="s">
        <v>1487</v>
      </c>
      <c r="C1132" s="14">
        <v>46</v>
      </c>
      <c r="D1132" s="14" t="str">
        <f>IFERROR(INDEX(Teams!$B$2:$B$49,MATCH($C1132,Teams!$A$2:$A$49,0)),"")</f>
        <v>Tunisia</v>
      </c>
      <c r="E1132" s="14" t="s">
        <v>361</v>
      </c>
      <c r="F1132" s="14">
        <v>13</v>
      </c>
    </row>
    <row r="1133" spans="1:6" x14ac:dyDescent="0.3">
      <c r="A1133" s="14">
        <v>1132</v>
      </c>
      <c r="B1133" s="14" t="s">
        <v>1488</v>
      </c>
      <c r="C1133" s="14">
        <v>46</v>
      </c>
      <c r="D1133" s="14" t="str">
        <f>IFERROR(INDEX(Teams!$B$2:$B$49,MATCH($C1133,Teams!$A$2:$A$49,0)),"")</f>
        <v>Tunisia</v>
      </c>
      <c r="E1133" s="14" t="s">
        <v>361</v>
      </c>
      <c r="F1133" s="14">
        <v>14</v>
      </c>
    </row>
    <row r="1134" spans="1:6" x14ac:dyDescent="0.3">
      <c r="A1134" s="14">
        <v>1133</v>
      </c>
      <c r="B1134" s="14" t="s">
        <v>1489</v>
      </c>
      <c r="C1134" s="14">
        <v>46</v>
      </c>
      <c r="D1134" s="14" t="str">
        <f>IFERROR(INDEX(Teams!$B$2:$B$49,MATCH($C1134,Teams!$A$2:$A$49,0)),"")</f>
        <v>Tunisia</v>
      </c>
      <c r="E1134" s="14" t="s">
        <v>361</v>
      </c>
      <c r="F1134" s="14">
        <v>15</v>
      </c>
    </row>
    <row r="1135" spans="1:6" x14ac:dyDescent="0.3">
      <c r="A1135" s="14">
        <v>1134</v>
      </c>
      <c r="B1135" s="14" t="s">
        <v>1490</v>
      </c>
      <c r="C1135" s="14">
        <v>46</v>
      </c>
      <c r="D1135" s="14" t="str">
        <f>IFERROR(INDEX(Teams!$B$2:$B$49,MATCH($C1135,Teams!$A$2:$A$49,0)),"")</f>
        <v>Tunisia</v>
      </c>
      <c r="E1135" s="14" t="s">
        <v>354</v>
      </c>
      <c r="F1135" s="14">
        <v>16</v>
      </c>
    </row>
    <row r="1136" spans="1:6" x14ac:dyDescent="0.3">
      <c r="A1136" s="14">
        <v>1135</v>
      </c>
      <c r="B1136" s="14" t="s">
        <v>1491</v>
      </c>
      <c r="C1136" s="14">
        <v>46</v>
      </c>
      <c r="D1136" s="14" t="str">
        <f>IFERROR(INDEX(Teams!$B$2:$B$49,MATCH($C1136,Teams!$A$2:$A$49,0)),"")</f>
        <v>Tunisia</v>
      </c>
      <c r="E1136" s="14" t="s">
        <v>361</v>
      </c>
      <c r="F1136" s="14">
        <v>17</v>
      </c>
    </row>
    <row r="1137" spans="1:6" x14ac:dyDescent="0.3">
      <c r="A1137" s="14">
        <v>1136</v>
      </c>
      <c r="B1137" s="14" t="s">
        <v>1492</v>
      </c>
      <c r="C1137" s="14">
        <v>46</v>
      </c>
      <c r="D1137" s="14" t="str">
        <f>IFERROR(INDEX(Teams!$B$2:$B$49,MATCH($C1137,Teams!$A$2:$A$49,0)),"")</f>
        <v>Tunisia</v>
      </c>
      <c r="E1137" s="14" t="s">
        <v>363</v>
      </c>
      <c r="F1137" s="14">
        <v>18</v>
      </c>
    </row>
    <row r="1138" spans="1:6" x14ac:dyDescent="0.3">
      <c r="A1138" s="14">
        <v>1137</v>
      </c>
      <c r="B1138" s="14" t="s">
        <v>1493</v>
      </c>
      <c r="C1138" s="14">
        <v>46</v>
      </c>
      <c r="D1138" s="14" t="str">
        <f>IFERROR(INDEX(Teams!$B$2:$B$49,MATCH($C1138,Teams!$A$2:$A$49,0)),"")</f>
        <v>Tunisia</v>
      </c>
      <c r="E1138" s="14" t="s">
        <v>363</v>
      </c>
      <c r="F1138" s="14">
        <v>19</v>
      </c>
    </row>
    <row r="1139" spans="1:6" x14ac:dyDescent="0.3">
      <c r="A1139" s="14">
        <v>1138</v>
      </c>
      <c r="B1139" s="14" t="s">
        <v>1494</v>
      </c>
      <c r="C1139" s="14">
        <v>46</v>
      </c>
      <c r="D1139" s="14" t="str">
        <f>IFERROR(INDEX(Teams!$B$2:$B$49,MATCH($C1139,Teams!$A$2:$A$49,0)),"")</f>
        <v>Tunisia</v>
      </c>
      <c r="E1139" s="14" t="s">
        <v>356</v>
      </c>
      <c r="F1139" s="14">
        <v>20</v>
      </c>
    </row>
    <row r="1140" spans="1:6" x14ac:dyDescent="0.3">
      <c r="A1140" s="14">
        <v>1139</v>
      </c>
      <c r="B1140" s="14" t="s">
        <v>1495</v>
      </c>
      <c r="C1140" s="14">
        <v>46</v>
      </c>
      <c r="D1140" s="14" t="str">
        <f>IFERROR(INDEX(Teams!$B$2:$B$49,MATCH($C1140,Teams!$A$2:$A$49,0)),"")</f>
        <v>Tunisia</v>
      </c>
      <c r="E1140" s="14" t="s">
        <v>356</v>
      </c>
      <c r="F1140" s="14">
        <v>21</v>
      </c>
    </row>
    <row r="1141" spans="1:6" x14ac:dyDescent="0.3">
      <c r="A1141" s="14">
        <v>1140</v>
      </c>
      <c r="B1141" s="14" t="s">
        <v>1496</v>
      </c>
      <c r="C1141" s="14">
        <v>46</v>
      </c>
      <c r="D1141" s="14" t="str">
        <f>IFERROR(INDEX(Teams!$B$2:$B$49,MATCH($C1141,Teams!$A$2:$A$49,0)),"")</f>
        <v>Tunisia</v>
      </c>
      <c r="E1141" s="14" t="s">
        <v>354</v>
      </c>
      <c r="F1141" s="14">
        <v>22</v>
      </c>
    </row>
    <row r="1142" spans="1:6" x14ac:dyDescent="0.3">
      <c r="A1142" s="14">
        <v>1141</v>
      </c>
      <c r="B1142" s="14" t="s">
        <v>1497</v>
      </c>
      <c r="C1142" s="14">
        <v>46</v>
      </c>
      <c r="D1142" s="14" t="str">
        <f>IFERROR(INDEX(Teams!$B$2:$B$49,MATCH($C1142,Teams!$A$2:$A$49,0)),"")</f>
        <v>Tunisia</v>
      </c>
      <c r="E1142" s="14" t="s">
        <v>356</v>
      </c>
      <c r="F1142" s="14">
        <v>23</v>
      </c>
    </row>
    <row r="1143" spans="1:6" x14ac:dyDescent="0.3">
      <c r="A1143" s="14">
        <v>1142</v>
      </c>
      <c r="B1143" s="14" t="s">
        <v>1498</v>
      </c>
      <c r="C1143" s="14">
        <v>46</v>
      </c>
      <c r="D1143" s="14" t="str">
        <f>IFERROR(INDEX(Teams!$B$2:$B$49,MATCH($C1143,Teams!$A$2:$A$49,0)),"")</f>
        <v>Tunisia</v>
      </c>
      <c r="E1143" s="14" t="s">
        <v>356</v>
      </c>
      <c r="F1143" s="14">
        <v>24</v>
      </c>
    </row>
    <row r="1144" spans="1:6" x14ac:dyDescent="0.3">
      <c r="A1144" s="14">
        <v>1143</v>
      </c>
      <c r="B1144" s="14" t="s">
        <v>1499</v>
      </c>
      <c r="C1144" s="14">
        <v>46</v>
      </c>
      <c r="D1144" s="14" t="str">
        <f>IFERROR(INDEX(Teams!$B$2:$B$49,MATCH($C1144,Teams!$A$2:$A$49,0)),"")</f>
        <v>Tunisia</v>
      </c>
      <c r="E1144" s="14" t="s">
        <v>361</v>
      </c>
      <c r="F1144" s="14">
        <v>25</v>
      </c>
    </row>
    <row r="1145" spans="1:6" x14ac:dyDescent="0.3">
      <c r="A1145" s="14">
        <v>1144</v>
      </c>
      <c r="B1145" s="14" t="s">
        <v>1500</v>
      </c>
      <c r="C1145" s="14">
        <v>46</v>
      </c>
      <c r="D1145" s="14" t="str">
        <f>IFERROR(INDEX(Teams!$B$2:$B$49,MATCH($C1145,Teams!$A$2:$A$49,0)),"")</f>
        <v>Tunisia</v>
      </c>
      <c r="E1145" s="14" t="s">
        <v>361</v>
      </c>
      <c r="F1145" s="14">
        <v>26</v>
      </c>
    </row>
    <row r="1146" spans="1:6" x14ac:dyDescent="0.3">
      <c r="A1146" s="14">
        <v>1145</v>
      </c>
      <c r="B1146" s="14" t="s">
        <v>1501</v>
      </c>
      <c r="C1146" s="14">
        <v>47</v>
      </c>
      <c r="D1146" s="14" t="str">
        <f>IFERROR(INDEX(Teams!$B$2:$B$49,MATCH($C1146,Teams!$A$2:$A$49,0)),"")</f>
        <v>Türkiye</v>
      </c>
      <c r="E1146" s="14" t="s">
        <v>354</v>
      </c>
      <c r="F1146" s="14">
        <v>1</v>
      </c>
    </row>
    <row r="1147" spans="1:6" x14ac:dyDescent="0.3">
      <c r="A1147" s="14">
        <v>1146</v>
      </c>
      <c r="B1147" s="14" t="s">
        <v>1502</v>
      </c>
      <c r="C1147" s="14">
        <v>47</v>
      </c>
      <c r="D1147" s="14" t="str">
        <f>IFERROR(INDEX(Teams!$B$2:$B$49,MATCH($C1147,Teams!$A$2:$A$49,0)),"")</f>
        <v>Türkiye</v>
      </c>
      <c r="E1147" s="14" t="s">
        <v>356</v>
      </c>
      <c r="F1147" s="14">
        <v>2</v>
      </c>
    </row>
    <row r="1148" spans="1:6" x14ac:dyDescent="0.3">
      <c r="A1148" s="14">
        <v>1147</v>
      </c>
      <c r="B1148" s="14" t="s">
        <v>1503</v>
      </c>
      <c r="C1148" s="14">
        <v>47</v>
      </c>
      <c r="D1148" s="14" t="str">
        <f>IFERROR(INDEX(Teams!$B$2:$B$49,MATCH($C1148,Teams!$A$2:$A$49,0)),"")</f>
        <v>Türkiye</v>
      </c>
      <c r="E1148" s="14" t="s">
        <v>356</v>
      </c>
      <c r="F1148" s="14">
        <v>3</v>
      </c>
    </row>
    <row r="1149" spans="1:6" x14ac:dyDescent="0.3">
      <c r="A1149" s="14">
        <v>1148</v>
      </c>
      <c r="B1149" s="14" t="s">
        <v>1504</v>
      </c>
      <c r="C1149" s="14">
        <v>47</v>
      </c>
      <c r="D1149" s="14" t="str">
        <f>IFERROR(INDEX(Teams!$B$2:$B$49,MATCH($C1149,Teams!$A$2:$A$49,0)),"")</f>
        <v>Türkiye</v>
      </c>
      <c r="E1149" s="14" t="s">
        <v>356</v>
      </c>
      <c r="F1149" s="14">
        <v>4</v>
      </c>
    </row>
    <row r="1150" spans="1:6" x14ac:dyDescent="0.3">
      <c r="A1150" s="14">
        <v>1149</v>
      </c>
      <c r="B1150" s="14" t="s">
        <v>1505</v>
      </c>
      <c r="C1150" s="14">
        <v>47</v>
      </c>
      <c r="D1150" s="14" t="str">
        <f>IFERROR(INDEX(Teams!$B$2:$B$49,MATCH($C1150,Teams!$A$2:$A$49,0)),"")</f>
        <v>Türkiye</v>
      </c>
      <c r="E1150" s="14" t="s">
        <v>361</v>
      </c>
      <c r="F1150" s="14">
        <v>5</v>
      </c>
    </row>
    <row r="1151" spans="1:6" x14ac:dyDescent="0.3">
      <c r="A1151" s="14">
        <v>1150</v>
      </c>
      <c r="B1151" s="14" t="s">
        <v>1506</v>
      </c>
      <c r="C1151" s="14">
        <v>47</v>
      </c>
      <c r="D1151" s="14" t="str">
        <f>IFERROR(INDEX(Teams!$B$2:$B$49,MATCH($C1151,Teams!$A$2:$A$49,0)),"")</f>
        <v>Türkiye</v>
      </c>
      <c r="E1151" s="14" t="s">
        <v>361</v>
      </c>
      <c r="F1151" s="14">
        <v>6</v>
      </c>
    </row>
    <row r="1152" spans="1:6" x14ac:dyDescent="0.3">
      <c r="A1152" s="14">
        <v>1151</v>
      </c>
      <c r="B1152" s="14" t="s">
        <v>1507</v>
      </c>
      <c r="C1152" s="14">
        <v>47</v>
      </c>
      <c r="D1152" s="14" t="str">
        <f>IFERROR(INDEX(Teams!$B$2:$B$49,MATCH($C1152,Teams!$A$2:$A$49,0)),"")</f>
        <v>Türkiye</v>
      </c>
      <c r="E1152" s="14" t="s">
        <v>363</v>
      </c>
      <c r="F1152" s="14">
        <v>7</v>
      </c>
    </row>
    <row r="1153" spans="1:6" x14ac:dyDescent="0.3">
      <c r="A1153" s="14">
        <v>1152</v>
      </c>
      <c r="B1153" s="14" t="s">
        <v>1508</v>
      </c>
      <c r="C1153" s="14">
        <v>47</v>
      </c>
      <c r="D1153" s="14" t="str">
        <f>IFERROR(INDEX(Teams!$B$2:$B$49,MATCH($C1153,Teams!$A$2:$A$49,0)),"")</f>
        <v>Türkiye</v>
      </c>
      <c r="E1153" s="14" t="s">
        <v>363</v>
      </c>
      <c r="F1153" s="14">
        <v>8</v>
      </c>
    </row>
    <row r="1154" spans="1:6" x14ac:dyDescent="0.3">
      <c r="A1154" s="14">
        <v>1153</v>
      </c>
      <c r="B1154" s="14" t="s">
        <v>1509</v>
      </c>
      <c r="C1154" s="14">
        <v>47</v>
      </c>
      <c r="D1154" s="14" t="str">
        <f>IFERROR(INDEX(Teams!$B$2:$B$49,MATCH($C1154,Teams!$A$2:$A$49,0)),"")</f>
        <v>Türkiye</v>
      </c>
      <c r="E1154" s="14" t="s">
        <v>363</v>
      </c>
      <c r="F1154" s="14">
        <v>9</v>
      </c>
    </row>
    <row r="1155" spans="1:6" x14ac:dyDescent="0.3">
      <c r="A1155" s="14">
        <v>1154</v>
      </c>
      <c r="B1155" s="14" t="s">
        <v>1510</v>
      </c>
      <c r="C1155" s="14">
        <v>47</v>
      </c>
      <c r="D1155" s="14" t="str">
        <f>IFERROR(INDEX(Teams!$B$2:$B$49,MATCH($C1155,Teams!$A$2:$A$49,0)),"")</f>
        <v>Türkiye</v>
      </c>
      <c r="E1155" s="14" t="s">
        <v>361</v>
      </c>
      <c r="F1155" s="14">
        <v>10</v>
      </c>
    </row>
    <row r="1156" spans="1:6" x14ac:dyDescent="0.3">
      <c r="A1156" s="14">
        <v>1155</v>
      </c>
      <c r="B1156" s="14" t="s">
        <v>1511</v>
      </c>
      <c r="C1156" s="14">
        <v>47</v>
      </c>
      <c r="D1156" s="14" t="str">
        <f>IFERROR(INDEX(Teams!$B$2:$B$49,MATCH($C1156,Teams!$A$2:$A$49,0)),"")</f>
        <v>Türkiye</v>
      </c>
      <c r="E1156" s="14" t="s">
        <v>363</v>
      </c>
      <c r="F1156" s="14">
        <v>11</v>
      </c>
    </row>
    <row r="1157" spans="1:6" x14ac:dyDescent="0.3">
      <c r="A1157" s="14">
        <v>1156</v>
      </c>
      <c r="B1157" s="14" t="s">
        <v>1512</v>
      </c>
      <c r="C1157" s="14">
        <v>47</v>
      </c>
      <c r="D1157" s="14" t="str">
        <f>IFERROR(INDEX(Teams!$B$2:$B$49,MATCH($C1157,Teams!$A$2:$A$49,0)),"")</f>
        <v>Türkiye</v>
      </c>
      <c r="E1157" s="14" t="s">
        <v>354</v>
      </c>
      <c r="F1157" s="14">
        <v>12</v>
      </c>
    </row>
    <row r="1158" spans="1:6" x14ac:dyDescent="0.3">
      <c r="A1158" s="14">
        <v>1157</v>
      </c>
      <c r="B1158" s="14" t="s">
        <v>1513</v>
      </c>
      <c r="C1158" s="14">
        <v>47</v>
      </c>
      <c r="D1158" s="14" t="str">
        <f>IFERROR(INDEX(Teams!$B$2:$B$49,MATCH($C1158,Teams!$A$2:$A$49,0)),"")</f>
        <v>Türkiye</v>
      </c>
      <c r="E1158" s="14" t="s">
        <v>356</v>
      </c>
      <c r="F1158" s="14">
        <v>13</v>
      </c>
    </row>
    <row r="1159" spans="1:6" x14ac:dyDescent="0.3">
      <c r="A1159" s="14">
        <v>1158</v>
      </c>
      <c r="B1159" s="14" t="s">
        <v>1514</v>
      </c>
      <c r="C1159" s="14">
        <v>47</v>
      </c>
      <c r="D1159" s="14" t="str">
        <f>IFERROR(INDEX(Teams!$B$2:$B$49,MATCH($C1159,Teams!$A$2:$A$49,0)),"")</f>
        <v>Türkiye</v>
      </c>
      <c r="E1159" s="14" t="s">
        <v>356</v>
      </c>
      <c r="F1159" s="14">
        <v>14</v>
      </c>
    </row>
    <row r="1160" spans="1:6" x14ac:dyDescent="0.3">
      <c r="A1160" s="14">
        <v>1159</v>
      </c>
      <c r="B1160" s="14" t="s">
        <v>1515</v>
      </c>
      <c r="C1160" s="14">
        <v>47</v>
      </c>
      <c r="D1160" s="14" t="str">
        <f>IFERROR(INDEX(Teams!$B$2:$B$49,MATCH($C1160,Teams!$A$2:$A$49,0)),"")</f>
        <v>Türkiye</v>
      </c>
      <c r="E1160" s="14" t="s">
        <v>356</v>
      </c>
      <c r="F1160" s="14">
        <v>15</v>
      </c>
    </row>
    <row r="1161" spans="1:6" x14ac:dyDescent="0.3">
      <c r="A1161" s="14">
        <v>1160</v>
      </c>
      <c r="B1161" s="14" t="s">
        <v>1516</v>
      </c>
      <c r="C1161" s="14">
        <v>47</v>
      </c>
      <c r="D1161" s="14" t="str">
        <f>IFERROR(INDEX(Teams!$B$2:$B$49,MATCH($C1161,Teams!$A$2:$A$49,0)),"")</f>
        <v>Türkiye</v>
      </c>
      <c r="E1161" s="14" t="s">
        <v>361</v>
      </c>
      <c r="F1161" s="14">
        <v>16</v>
      </c>
    </row>
    <row r="1162" spans="1:6" x14ac:dyDescent="0.3">
      <c r="A1162" s="14">
        <v>1161</v>
      </c>
      <c r="B1162" s="14" t="s">
        <v>1517</v>
      </c>
      <c r="C1162" s="14">
        <v>47</v>
      </c>
      <c r="D1162" s="14" t="str">
        <f>IFERROR(INDEX(Teams!$B$2:$B$49,MATCH($C1162,Teams!$A$2:$A$49,0)),"")</f>
        <v>Türkiye</v>
      </c>
      <c r="E1162" s="14" t="s">
        <v>363</v>
      </c>
      <c r="F1162" s="14">
        <v>17</v>
      </c>
    </row>
    <row r="1163" spans="1:6" x14ac:dyDescent="0.3">
      <c r="A1163" s="14">
        <v>1162</v>
      </c>
      <c r="B1163" s="14" t="s">
        <v>1518</v>
      </c>
      <c r="C1163" s="14">
        <v>47</v>
      </c>
      <c r="D1163" s="14" t="str">
        <f>IFERROR(INDEX(Teams!$B$2:$B$49,MATCH($C1163,Teams!$A$2:$A$49,0)),"")</f>
        <v>Türkiye</v>
      </c>
      <c r="E1163" s="14" t="s">
        <v>356</v>
      </c>
      <c r="F1163" s="14">
        <v>18</v>
      </c>
    </row>
    <row r="1164" spans="1:6" x14ac:dyDescent="0.3">
      <c r="A1164" s="14">
        <v>1163</v>
      </c>
      <c r="B1164" s="14" t="s">
        <v>1519</v>
      </c>
      <c r="C1164" s="14">
        <v>47</v>
      </c>
      <c r="D1164" s="14" t="str">
        <f>IFERROR(INDEX(Teams!$B$2:$B$49,MATCH($C1164,Teams!$A$2:$A$49,0)),"")</f>
        <v>Türkiye</v>
      </c>
      <c r="E1164" s="14" t="s">
        <v>363</v>
      </c>
      <c r="F1164" s="14">
        <v>19</v>
      </c>
    </row>
    <row r="1165" spans="1:6" x14ac:dyDescent="0.3">
      <c r="A1165" s="14">
        <v>1164</v>
      </c>
      <c r="B1165" s="14" t="s">
        <v>1520</v>
      </c>
      <c r="C1165" s="14">
        <v>47</v>
      </c>
      <c r="D1165" s="14" t="str">
        <f>IFERROR(INDEX(Teams!$B$2:$B$49,MATCH($C1165,Teams!$A$2:$A$49,0)),"")</f>
        <v>Türkiye</v>
      </c>
      <c r="E1165" s="14" t="s">
        <v>356</v>
      </c>
      <c r="F1165" s="14">
        <v>20</v>
      </c>
    </row>
    <row r="1166" spans="1:6" x14ac:dyDescent="0.3">
      <c r="A1166" s="14">
        <v>1165</v>
      </c>
      <c r="B1166" s="14" t="s">
        <v>1521</v>
      </c>
      <c r="C1166" s="14">
        <v>47</v>
      </c>
      <c r="D1166" s="14" t="str">
        <f>IFERROR(INDEX(Teams!$B$2:$B$49,MATCH($C1166,Teams!$A$2:$A$49,0)),"")</f>
        <v>Türkiye</v>
      </c>
      <c r="E1166" s="14" t="s">
        <v>363</v>
      </c>
      <c r="F1166" s="14">
        <v>21</v>
      </c>
    </row>
    <row r="1167" spans="1:6" x14ac:dyDescent="0.3">
      <c r="A1167" s="14">
        <v>1166</v>
      </c>
      <c r="B1167" s="14" t="s">
        <v>1522</v>
      </c>
      <c r="C1167" s="14">
        <v>47</v>
      </c>
      <c r="D1167" s="14" t="str">
        <f>IFERROR(INDEX(Teams!$B$2:$B$49,MATCH($C1167,Teams!$A$2:$A$49,0)),"")</f>
        <v>Türkiye</v>
      </c>
      <c r="E1167" s="14" t="s">
        <v>361</v>
      </c>
      <c r="F1167" s="14">
        <v>22</v>
      </c>
    </row>
    <row r="1168" spans="1:6" x14ac:dyDescent="0.3">
      <c r="A1168" s="14">
        <v>1167</v>
      </c>
      <c r="B1168" s="14" t="s">
        <v>1523</v>
      </c>
      <c r="C1168" s="14">
        <v>47</v>
      </c>
      <c r="D1168" s="14" t="str">
        <f>IFERROR(INDEX(Teams!$B$2:$B$49,MATCH($C1168,Teams!$A$2:$A$49,0)),"")</f>
        <v>Türkiye</v>
      </c>
      <c r="E1168" s="14" t="s">
        <v>354</v>
      </c>
      <c r="F1168" s="14">
        <v>23</v>
      </c>
    </row>
    <row r="1169" spans="1:6" x14ac:dyDescent="0.3">
      <c r="A1169" s="14">
        <v>1168</v>
      </c>
      <c r="B1169" s="14" t="s">
        <v>1524</v>
      </c>
      <c r="C1169" s="14">
        <v>47</v>
      </c>
      <c r="D1169" s="14" t="str">
        <f>IFERROR(INDEX(Teams!$B$2:$B$49,MATCH($C1169,Teams!$A$2:$A$49,0)),"")</f>
        <v>Türkiye</v>
      </c>
      <c r="E1169" s="14" t="s">
        <v>363</v>
      </c>
      <c r="F1169" s="14">
        <v>24</v>
      </c>
    </row>
    <row r="1170" spans="1:6" x14ac:dyDescent="0.3">
      <c r="A1170" s="14">
        <v>1169</v>
      </c>
      <c r="B1170" s="14" t="s">
        <v>1525</v>
      </c>
      <c r="C1170" s="14">
        <v>47</v>
      </c>
      <c r="D1170" s="14" t="str">
        <f>IFERROR(INDEX(Teams!$B$2:$B$49,MATCH($C1170,Teams!$A$2:$A$49,0)),"")</f>
        <v>Türkiye</v>
      </c>
      <c r="E1170" s="14" t="s">
        <v>356</v>
      </c>
      <c r="F1170" s="14">
        <v>25</v>
      </c>
    </row>
    <row r="1171" spans="1:6" x14ac:dyDescent="0.3">
      <c r="A1171" s="14">
        <v>1170</v>
      </c>
      <c r="B1171" s="14" t="s">
        <v>1526</v>
      </c>
      <c r="C1171" s="14">
        <v>47</v>
      </c>
      <c r="D1171" s="14" t="str">
        <f>IFERROR(INDEX(Teams!$B$2:$B$49,MATCH($C1171,Teams!$A$2:$A$49,0)),"")</f>
        <v>Türkiye</v>
      </c>
      <c r="E1171" s="14" t="s">
        <v>363</v>
      </c>
      <c r="F1171" s="14">
        <v>26</v>
      </c>
    </row>
    <row r="1172" spans="1:6" x14ac:dyDescent="0.3">
      <c r="A1172" s="14">
        <v>1171</v>
      </c>
      <c r="B1172" s="14" t="s">
        <v>1527</v>
      </c>
      <c r="C1172" s="14">
        <v>36</v>
      </c>
      <c r="D1172" s="14" t="str">
        <f>IFERROR(INDEX(Teams!$B$2:$B$49,MATCH($C1172,Teams!$A$2:$A$49,0)),"")</f>
        <v>Uruguay</v>
      </c>
      <c r="E1172" s="14" t="s">
        <v>354</v>
      </c>
      <c r="F1172" s="14">
        <v>1</v>
      </c>
    </row>
    <row r="1173" spans="1:6" x14ac:dyDescent="0.3">
      <c r="A1173" s="14">
        <v>1172</v>
      </c>
      <c r="B1173" s="14" t="s">
        <v>1528</v>
      </c>
      <c r="C1173" s="14">
        <v>36</v>
      </c>
      <c r="D1173" s="14" t="str">
        <f>IFERROR(INDEX(Teams!$B$2:$B$49,MATCH($C1173,Teams!$A$2:$A$49,0)),"")</f>
        <v>Uruguay</v>
      </c>
      <c r="E1173" s="14" t="s">
        <v>356</v>
      </c>
      <c r="F1173" s="14">
        <v>2</v>
      </c>
    </row>
    <row r="1174" spans="1:6" x14ac:dyDescent="0.3">
      <c r="A1174" s="14">
        <v>1173</v>
      </c>
      <c r="B1174" s="14" t="s">
        <v>1529</v>
      </c>
      <c r="C1174" s="14">
        <v>36</v>
      </c>
      <c r="D1174" s="14" t="str">
        <f>IFERROR(INDEX(Teams!$B$2:$B$49,MATCH($C1174,Teams!$A$2:$A$49,0)),"")</f>
        <v>Uruguay</v>
      </c>
      <c r="E1174" s="14" t="s">
        <v>356</v>
      </c>
      <c r="F1174" s="14">
        <v>3</v>
      </c>
    </row>
    <row r="1175" spans="1:6" x14ac:dyDescent="0.3">
      <c r="A1175" s="14">
        <v>1174</v>
      </c>
      <c r="B1175" s="14" t="s">
        <v>1530</v>
      </c>
      <c r="C1175" s="14">
        <v>36</v>
      </c>
      <c r="D1175" s="14" t="str">
        <f>IFERROR(INDEX(Teams!$B$2:$B$49,MATCH($C1175,Teams!$A$2:$A$49,0)),"")</f>
        <v>Uruguay</v>
      </c>
      <c r="E1175" s="14" t="s">
        <v>356</v>
      </c>
      <c r="F1175" s="14">
        <v>4</v>
      </c>
    </row>
    <row r="1176" spans="1:6" x14ac:dyDescent="0.3">
      <c r="A1176" s="14">
        <v>1175</v>
      </c>
      <c r="B1176" s="14" t="s">
        <v>1531</v>
      </c>
      <c r="C1176" s="14">
        <v>36</v>
      </c>
      <c r="D1176" s="14" t="str">
        <f>IFERROR(INDEX(Teams!$B$2:$B$49,MATCH($C1176,Teams!$A$2:$A$49,0)),"")</f>
        <v>Uruguay</v>
      </c>
      <c r="E1176" s="14" t="s">
        <v>361</v>
      </c>
      <c r="F1176" s="14">
        <v>5</v>
      </c>
    </row>
    <row r="1177" spans="1:6" x14ac:dyDescent="0.3">
      <c r="A1177" s="14">
        <v>1176</v>
      </c>
      <c r="B1177" s="14" t="s">
        <v>1532</v>
      </c>
      <c r="C1177" s="14">
        <v>36</v>
      </c>
      <c r="D1177" s="14" t="str">
        <f>IFERROR(INDEX(Teams!$B$2:$B$49,MATCH($C1177,Teams!$A$2:$A$49,0)),"")</f>
        <v>Uruguay</v>
      </c>
      <c r="E1177" s="14" t="s">
        <v>361</v>
      </c>
      <c r="F1177" s="14">
        <v>6</v>
      </c>
    </row>
    <row r="1178" spans="1:6" x14ac:dyDescent="0.3">
      <c r="A1178" s="14">
        <v>1177</v>
      </c>
      <c r="B1178" s="14" t="s">
        <v>1533</v>
      </c>
      <c r="C1178" s="14">
        <v>36</v>
      </c>
      <c r="D1178" s="14" t="str">
        <f>IFERROR(INDEX(Teams!$B$2:$B$49,MATCH($C1178,Teams!$A$2:$A$49,0)),"")</f>
        <v>Uruguay</v>
      </c>
      <c r="E1178" s="14" t="s">
        <v>361</v>
      </c>
      <c r="F1178" s="14">
        <v>7</v>
      </c>
    </row>
    <row r="1179" spans="1:6" x14ac:dyDescent="0.3">
      <c r="A1179" s="14">
        <v>1178</v>
      </c>
      <c r="B1179" s="14" t="s">
        <v>1534</v>
      </c>
      <c r="C1179" s="14">
        <v>36</v>
      </c>
      <c r="D1179" s="14" t="str">
        <f>IFERROR(INDEX(Teams!$B$2:$B$49,MATCH($C1179,Teams!$A$2:$A$49,0)),"")</f>
        <v>Uruguay</v>
      </c>
      <c r="E1179" s="14" t="s">
        <v>361</v>
      </c>
      <c r="F1179" s="14">
        <v>8</v>
      </c>
    </row>
    <row r="1180" spans="1:6" x14ac:dyDescent="0.3">
      <c r="A1180" s="14">
        <v>1179</v>
      </c>
      <c r="B1180" s="14" t="s">
        <v>1535</v>
      </c>
      <c r="C1180" s="14">
        <v>36</v>
      </c>
      <c r="D1180" s="14" t="str">
        <f>IFERROR(INDEX(Teams!$B$2:$B$49,MATCH($C1180,Teams!$A$2:$A$49,0)),"")</f>
        <v>Uruguay</v>
      </c>
      <c r="E1180" s="14" t="s">
        <v>363</v>
      </c>
      <c r="F1180" s="14">
        <v>9</v>
      </c>
    </row>
    <row r="1181" spans="1:6" x14ac:dyDescent="0.3">
      <c r="A1181" s="14">
        <v>1180</v>
      </c>
      <c r="B1181" s="14" t="s">
        <v>1536</v>
      </c>
      <c r="C1181" s="14">
        <v>36</v>
      </c>
      <c r="D1181" s="14" t="str">
        <f>IFERROR(INDEX(Teams!$B$2:$B$49,MATCH($C1181,Teams!$A$2:$A$49,0)),"")</f>
        <v>Uruguay</v>
      </c>
      <c r="E1181" s="14" t="s">
        <v>361</v>
      </c>
      <c r="F1181" s="14">
        <v>10</v>
      </c>
    </row>
    <row r="1182" spans="1:6" x14ac:dyDescent="0.3">
      <c r="A1182" s="14">
        <v>1181</v>
      </c>
      <c r="B1182" s="14" t="s">
        <v>1537</v>
      </c>
      <c r="C1182" s="14">
        <v>36</v>
      </c>
      <c r="D1182" s="14" t="str">
        <f>IFERROR(INDEX(Teams!$B$2:$B$49,MATCH($C1182,Teams!$A$2:$A$49,0)),"")</f>
        <v>Uruguay</v>
      </c>
      <c r="E1182" s="14" t="s">
        <v>363</v>
      </c>
      <c r="F1182" s="14">
        <v>11</v>
      </c>
    </row>
    <row r="1183" spans="1:6" x14ac:dyDescent="0.3">
      <c r="A1183" s="14">
        <v>1182</v>
      </c>
      <c r="B1183" s="14" t="s">
        <v>1538</v>
      </c>
      <c r="C1183" s="14">
        <v>36</v>
      </c>
      <c r="D1183" s="14" t="str">
        <f>IFERROR(INDEX(Teams!$B$2:$B$49,MATCH($C1183,Teams!$A$2:$A$49,0)),"")</f>
        <v>Uruguay</v>
      </c>
      <c r="E1183" s="14" t="s">
        <v>354</v>
      </c>
      <c r="F1183" s="14">
        <v>12</v>
      </c>
    </row>
    <row r="1184" spans="1:6" x14ac:dyDescent="0.3">
      <c r="A1184" s="14">
        <v>1183</v>
      </c>
      <c r="B1184" s="14" t="s">
        <v>1539</v>
      </c>
      <c r="C1184" s="14">
        <v>36</v>
      </c>
      <c r="D1184" s="14" t="str">
        <f>IFERROR(INDEX(Teams!$B$2:$B$49,MATCH($C1184,Teams!$A$2:$A$49,0)),"")</f>
        <v>Uruguay</v>
      </c>
      <c r="E1184" s="14" t="s">
        <v>356</v>
      </c>
      <c r="F1184" s="14">
        <v>13</v>
      </c>
    </row>
    <row r="1185" spans="1:6" x14ac:dyDescent="0.3">
      <c r="A1185" s="14">
        <v>1184</v>
      </c>
      <c r="B1185" s="14" t="s">
        <v>1540</v>
      </c>
      <c r="C1185" s="14">
        <v>36</v>
      </c>
      <c r="D1185" s="14" t="str">
        <f>IFERROR(INDEX(Teams!$B$2:$B$49,MATCH($C1185,Teams!$A$2:$A$49,0)),"")</f>
        <v>Uruguay</v>
      </c>
      <c r="E1185" s="14" t="s">
        <v>361</v>
      </c>
      <c r="F1185" s="14">
        <v>14</v>
      </c>
    </row>
    <row r="1186" spans="1:6" x14ac:dyDescent="0.3">
      <c r="A1186" s="14">
        <v>1185</v>
      </c>
      <c r="B1186" s="14" t="s">
        <v>405</v>
      </c>
      <c r="C1186" s="14">
        <v>36</v>
      </c>
      <c r="D1186" s="14" t="str">
        <f>IFERROR(INDEX(Teams!$B$2:$B$49,MATCH($C1186,Teams!$A$2:$A$49,0)),"")</f>
        <v>Uruguay</v>
      </c>
      <c r="E1186" s="14" t="s">
        <v>361</v>
      </c>
      <c r="F1186" s="14">
        <v>15</v>
      </c>
    </row>
    <row r="1187" spans="1:6" x14ac:dyDescent="0.3">
      <c r="A1187" s="14">
        <v>1186</v>
      </c>
      <c r="B1187" s="14" t="s">
        <v>1541</v>
      </c>
      <c r="C1187" s="14">
        <v>36</v>
      </c>
      <c r="D1187" s="14" t="str">
        <f>IFERROR(INDEX(Teams!$B$2:$B$49,MATCH($C1187,Teams!$A$2:$A$49,0)),"")</f>
        <v>Uruguay</v>
      </c>
      <c r="E1187" s="14" t="s">
        <v>356</v>
      </c>
      <c r="F1187" s="14">
        <v>16</v>
      </c>
    </row>
    <row r="1188" spans="1:6" x14ac:dyDescent="0.3">
      <c r="A1188" s="14">
        <v>1187</v>
      </c>
      <c r="B1188" s="14" t="s">
        <v>1542</v>
      </c>
      <c r="C1188" s="14">
        <v>36</v>
      </c>
      <c r="D1188" s="14" t="str">
        <f>IFERROR(INDEX(Teams!$B$2:$B$49,MATCH($C1188,Teams!$A$2:$A$49,0)),"")</f>
        <v>Uruguay</v>
      </c>
      <c r="E1188" s="14" t="s">
        <v>356</v>
      </c>
      <c r="F1188" s="14">
        <v>17</v>
      </c>
    </row>
    <row r="1189" spans="1:6" x14ac:dyDescent="0.3">
      <c r="A1189" s="14">
        <v>1188</v>
      </c>
      <c r="B1189" s="14" t="s">
        <v>1543</v>
      </c>
      <c r="C1189" s="14">
        <v>36</v>
      </c>
      <c r="D1189" s="14" t="str">
        <f>IFERROR(INDEX(Teams!$B$2:$B$49,MATCH($C1189,Teams!$A$2:$A$49,0)),"")</f>
        <v>Uruguay</v>
      </c>
      <c r="E1189" s="14" t="s">
        <v>363</v>
      </c>
      <c r="F1189" s="14">
        <v>18</v>
      </c>
    </row>
    <row r="1190" spans="1:6" x14ac:dyDescent="0.3">
      <c r="A1190" s="14">
        <v>1189</v>
      </c>
      <c r="B1190" s="14" t="s">
        <v>1544</v>
      </c>
      <c r="C1190" s="14">
        <v>36</v>
      </c>
      <c r="D1190" s="14" t="str">
        <f>IFERROR(INDEX(Teams!$B$2:$B$49,MATCH($C1190,Teams!$A$2:$A$49,0)),"")</f>
        <v>Uruguay</v>
      </c>
      <c r="E1190" s="14" t="s">
        <v>363</v>
      </c>
      <c r="F1190" s="14">
        <v>19</v>
      </c>
    </row>
    <row r="1191" spans="1:6" x14ac:dyDescent="0.3">
      <c r="A1191" s="14">
        <v>1190</v>
      </c>
      <c r="B1191" s="14" t="s">
        <v>1545</v>
      </c>
      <c r="C1191" s="14">
        <v>36</v>
      </c>
      <c r="D1191" s="14" t="str">
        <f>IFERROR(INDEX(Teams!$B$2:$B$49,MATCH($C1191,Teams!$A$2:$A$49,0)),"")</f>
        <v>Uruguay</v>
      </c>
      <c r="E1191" s="14" t="s">
        <v>361</v>
      </c>
      <c r="F1191" s="14">
        <v>20</v>
      </c>
    </row>
    <row r="1192" spans="1:6" x14ac:dyDescent="0.3">
      <c r="A1192" s="14">
        <v>1191</v>
      </c>
      <c r="B1192" s="14" t="s">
        <v>1546</v>
      </c>
      <c r="C1192" s="14">
        <v>36</v>
      </c>
      <c r="D1192" s="14" t="str">
        <f>IFERROR(INDEX(Teams!$B$2:$B$49,MATCH($C1192,Teams!$A$2:$A$49,0)),"")</f>
        <v>Uruguay</v>
      </c>
      <c r="E1192" s="14" t="s">
        <v>363</v>
      </c>
      <c r="F1192" s="14">
        <v>21</v>
      </c>
    </row>
    <row r="1193" spans="1:6" x14ac:dyDescent="0.3">
      <c r="A1193" s="14">
        <v>1192</v>
      </c>
      <c r="B1193" s="14" t="s">
        <v>1547</v>
      </c>
      <c r="C1193" s="14">
        <v>36</v>
      </c>
      <c r="D1193" s="14" t="str">
        <f>IFERROR(INDEX(Teams!$B$2:$B$49,MATCH($C1193,Teams!$A$2:$A$49,0)),"")</f>
        <v>Uruguay</v>
      </c>
      <c r="E1193" s="14" t="s">
        <v>361</v>
      </c>
      <c r="F1193" s="14">
        <v>22</v>
      </c>
    </row>
    <row r="1194" spans="1:6" x14ac:dyDescent="0.3">
      <c r="A1194" s="14">
        <v>1193</v>
      </c>
      <c r="B1194" s="14" t="s">
        <v>1548</v>
      </c>
      <c r="C1194" s="14">
        <v>36</v>
      </c>
      <c r="D1194" s="14" t="str">
        <f>IFERROR(INDEX(Teams!$B$2:$B$49,MATCH($C1194,Teams!$A$2:$A$49,0)),"")</f>
        <v>Uruguay</v>
      </c>
      <c r="E1194" s="14" t="s">
        <v>354</v>
      </c>
      <c r="F1194" s="14">
        <v>23</v>
      </c>
    </row>
    <row r="1195" spans="1:6" x14ac:dyDescent="0.3">
      <c r="A1195" s="14">
        <v>1194</v>
      </c>
      <c r="B1195" s="14" t="s">
        <v>1549</v>
      </c>
      <c r="C1195" s="14">
        <v>36</v>
      </c>
      <c r="D1195" s="14" t="str">
        <f>IFERROR(INDEX(Teams!$B$2:$B$49,MATCH($C1195,Teams!$A$2:$A$49,0)),"")</f>
        <v>Uruguay</v>
      </c>
      <c r="E1195" s="14" t="s">
        <v>356</v>
      </c>
      <c r="F1195" s="14">
        <v>24</v>
      </c>
    </row>
    <row r="1196" spans="1:6" x14ac:dyDescent="0.3">
      <c r="A1196" s="14">
        <v>1195</v>
      </c>
      <c r="B1196" s="14" t="s">
        <v>1550</v>
      </c>
      <c r="C1196" s="14">
        <v>36</v>
      </c>
      <c r="D1196" s="14" t="str">
        <f>IFERROR(INDEX(Teams!$B$2:$B$49,MATCH($C1196,Teams!$A$2:$A$49,0)),"")</f>
        <v>Uruguay</v>
      </c>
      <c r="E1196" s="14" t="s">
        <v>361</v>
      </c>
      <c r="F1196" s="14">
        <v>25</v>
      </c>
    </row>
    <row r="1197" spans="1:6" x14ac:dyDescent="0.3">
      <c r="A1197" s="14">
        <v>1196</v>
      </c>
      <c r="B1197" s="14" t="s">
        <v>1551</v>
      </c>
      <c r="C1197" s="14">
        <v>36</v>
      </c>
      <c r="D1197" s="14" t="str">
        <f>IFERROR(INDEX(Teams!$B$2:$B$49,MATCH($C1197,Teams!$A$2:$A$49,0)),"")</f>
        <v>Uruguay</v>
      </c>
      <c r="E1197" s="14" t="s">
        <v>361</v>
      </c>
      <c r="F1197" s="14">
        <v>26</v>
      </c>
    </row>
    <row r="1198" spans="1:6" x14ac:dyDescent="0.3">
      <c r="A1198" s="14">
        <v>1197</v>
      </c>
      <c r="B1198" s="14" t="s">
        <v>1552</v>
      </c>
      <c r="C1198" s="14">
        <v>12</v>
      </c>
      <c r="D1198" s="14" t="str">
        <f>IFERROR(INDEX(Teams!$B$2:$B$49,MATCH($C1198,Teams!$A$2:$A$49,0)),"")</f>
        <v>USA</v>
      </c>
      <c r="E1198" s="14" t="s">
        <v>354</v>
      </c>
      <c r="F1198" s="14">
        <v>1</v>
      </c>
    </row>
    <row r="1199" spans="1:6" x14ac:dyDescent="0.3">
      <c r="A1199" s="14">
        <v>1198</v>
      </c>
      <c r="B1199" s="14" t="s">
        <v>1553</v>
      </c>
      <c r="C1199" s="14">
        <v>12</v>
      </c>
      <c r="D1199" s="14" t="str">
        <f>IFERROR(INDEX(Teams!$B$2:$B$49,MATCH($C1199,Teams!$A$2:$A$49,0)),"")</f>
        <v>USA</v>
      </c>
      <c r="E1199" s="14" t="s">
        <v>356</v>
      </c>
      <c r="F1199" s="14">
        <v>2</v>
      </c>
    </row>
    <row r="1200" spans="1:6" x14ac:dyDescent="0.3">
      <c r="A1200" s="14">
        <v>1199</v>
      </c>
      <c r="B1200" s="14" t="s">
        <v>1554</v>
      </c>
      <c r="C1200" s="14">
        <v>12</v>
      </c>
      <c r="D1200" s="14" t="str">
        <f>IFERROR(INDEX(Teams!$B$2:$B$49,MATCH($C1200,Teams!$A$2:$A$49,0)),"")</f>
        <v>USA</v>
      </c>
      <c r="E1200" s="14" t="s">
        <v>356</v>
      </c>
      <c r="F1200" s="14">
        <v>3</v>
      </c>
    </row>
    <row r="1201" spans="1:6" x14ac:dyDescent="0.3">
      <c r="A1201" s="14">
        <v>1200</v>
      </c>
      <c r="B1201" s="14" t="s">
        <v>1555</v>
      </c>
      <c r="C1201" s="14">
        <v>12</v>
      </c>
      <c r="D1201" s="14" t="str">
        <f>IFERROR(INDEX(Teams!$B$2:$B$49,MATCH($C1201,Teams!$A$2:$A$49,0)),"")</f>
        <v>USA</v>
      </c>
      <c r="E1201" s="14" t="s">
        <v>361</v>
      </c>
      <c r="F1201" s="14">
        <v>4</v>
      </c>
    </row>
    <row r="1202" spans="1:6" x14ac:dyDescent="0.3">
      <c r="A1202" s="14">
        <v>1201</v>
      </c>
      <c r="B1202" s="14" t="s">
        <v>1556</v>
      </c>
      <c r="C1202" s="14">
        <v>12</v>
      </c>
      <c r="D1202" s="14" t="str">
        <f>IFERROR(INDEX(Teams!$B$2:$B$49,MATCH($C1202,Teams!$A$2:$A$49,0)),"")</f>
        <v>USA</v>
      </c>
      <c r="E1202" s="14" t="s">
        <v>356</v>
      </c>
      <c r="F1202" s="14">
        <v>5</v>
      </c>
    </row>
    <row r="1203" spans="1:6" x14ac:dyDescent="0.3">
      <c r="A1203" s="14">
        <v>1202</v>
      </c>
      <c r="B1203" s="14" t="s">
        <v>1557</v>
      </c>
      <c r="C1203" s="14">
        <v>12</v>
      </c>
      <c r="D1203" s="14" t="str">
        <f>IFERROR(INDEX(Teams!$B$2:$B$49,MATCH($C1203,Teams!$A$2:$A$49,0)),"")</f>
        <v>USA</v>
      </c>
      <c r="E1203" s="14" t="s">
        <v>356</v>
      </c>
      <c r="F1203" s="14">
        <v>6</v>
      </c>
    </row>
    <row r="1204" spans="1:6" x14ac:dyDescent="0.3">
      <c r="A1204" s="14">
        <v>1203</v>
      </c>
      <c r="B1204" s="14" t="s">
        <v>1558</v>
      </c>
      <c r="C1204" s="14">
        <v>12</v>
      </c>
      <c r="D1204" s="14" t="str">
        <f>IFERROR(INDEX(Teams!$B$2:$B$49,MATCH($C1204,Teams!$A$2:$A$49,0)),"")</f>
        <v>USA</v>
      </c>
      <c r="E1204" s="14" t="s">
        <v>361</v>
      </c>
      <c r="F1204" s="14">
        <v>7</v>
      </c>
    </row>
    <row r="1205" spans="1:6" x14ac:dyDescent="0.3">
      <c r="A1205" s="14">
        <v>1204</v>
      </c>
      <c r="B1205" s="14" t="s">
        <v>1559</v>
      </c>
      <c r="C1205" s="14">
        <v>12</v>
      </c>
      <c r="D1205" s="14" t="str">
        <f>IFERROR(INDEX(Teams!$B$2:$B$49,MATCH($C1205,Teams!$A$2:$A$49,0)),"")</f>
        <v>USA</v>
      </c>
      <c r="E1205" s="14" t="s">
        <v>361</v>
      </c>
      <c r="F1205" s="14">
        <v>8</v>
      </c>
    </row>
    <row r="1206" spans="1:6" x14ac:dyDescent="0.3">
      <c r="A1206" s="14">
        <v>1205</v>
      </c>
      <c r="B1206" s="14" t="s">
        <v>1560</v>
      </c>
      <c r="C1206" s="14">
        <v>12</v>
      </c>
      <c r="D1206" s="14" t="str">
        <f>IFERROR(INDEX(Teams!$B$2:$B$49,MATCH($C1206,Teams!$A$2:$A$49,0)),"")</f>
        <v>USA</v>
      </c>
      <c r="E1206" s="14" t="s">
        <v>363</v>
      </c>
      <c r="F1206" s="14">
        <v>9</v>
      </c>
    </row>
    <row r="1207" spans="1:6" x14ac:dyDescent="0.3">
      <c r="A1207" s="14">
        <v>1206</v>
      </c>
      <c r="B1207" s="14" t="s">
        <v>1561</v>
      </c>
      <c r="C1207" s="14">
        <v>12</v>
      </c>
      <c r="D1207" s="14" t="str">
        <f>IFERROR(INDEX(Teams!$B$2:$B$49,MATCH($C1207,Teams!$A$2:$A$49,0)),"")</f>
        <v>USA</v>
      </c>
      <c r="E1207" s="14" t="s">
        <v>363</v>
      </c>
      <c r="F1207" s="14">
        <v>10</v>
      </c>
    </row>
    <row r="1208" spans="1:6" x14ac:dyDescent="0.3">
      <c r="A1208" s="14">
        <v>1207</v>
      </c>
      <c r="B1208" s="14" t="s">
        <v>1562</v>
      </c>
      <c r="C1208" s="14">
        <v>12</v>
      </c>
      <c r="D1208" s="14" t="str">
        <f>IFERROR(INDEX(Teams!$B$2:$B$49,MATCH($C1208,Teams!$A$2:$A$49,0)),"")</f>
        <v>USA</v>
      </c>
      <c r="E1208" s="14" t="s">
        <v>363</v>
      </c>
      <c r="F1208" s="14">
        <v>11</v>
      </c>
    </row>
    <row r="1209" spans="1:6" x14ac:dyDescent="0.3">
      <c r="A1209" s="14">
        <v>1208</v>
      </c>
      <c r="B1209" s="14" t="s">
        <v>1563</v>
      </c>
      <c r="C1209" s="14">
        <v>12</v>
      </c>
      <c r="D1209" s="14" t="str">
        <f>IFERROR(INDEX(Teams!$B$2:$B$49,MATCH($C1209,Teams!$A$2:$A$49,0)),"")</f>
        <v>USA</v>
      </c>
      <c r="E1209" s="14" t="s">
        <v>356</v>
      </c>
      <c r="F1209" s="14">
        <v>12</v>
      </c>
    </row>
    <row r="1210" spans="1:6" x14ac:dyDescent="0.3">
      <c r="A1210" s="14">
        <v>1209</v>
      </c>
      <c r="B1210" s="14" t="s">
        <v>1564</v>
      </c>
      <c r="C1210" s="14">
        <v>12</v>
      </c>
      <c r="D1210" s="14" t="str">
        <f>IFERROR(INDEX(Teams!$B$2:$B$49,MATCH($C1210,Teams!$A$2:$A$49,0)),"")</f>
        <v>USA</v>
      </c>
      <c r="E1210" s="14" t="s">
        <v>356</v>
      </c>
      <c r="F1210" s="14">
        <v>13</v>
      </c>
    </row>
    <row r="1211" spans="1:6" x14ac:dyDescent="0.3">
      <c r="A1211" s="14">
        <v>1210</v>
      </c>
      <c r="B1211" s="14" t="s">
        <v>1565</v>
      </c>
      <c r="C1211" s="14">
        <v>12</v>
      </c>
      <c r="D1211" s="14" t="str">
        <f>IFERROR(INDEX(Teams!$B$2:$B$49,MATCH($C1211,Teams!$A$2:$A$49,0)),"")</f>
        <v>USA</v>
      </c>
      <c r="E1211" s="14" t="s">
        <v>361</v>
      </c>
      <c r="F1211" s="14">
        <v>14</v>
      </c>
    </row>
    <row r="1212" spans="1:6" x14ac:dyDescent="0.3">
      <c r="A1212" s="14">
        <v>1211</v>
      </c>
      <c r="B1212" s="14" t="s">
        <v>1566</v>
      </c>
      <c r="C1212" s="14">
        <v>12</v>
      </c>
      <c r="D1212" s="14" t="str">
        <f>IFERROR(INDEX(Teams!$B$2:$B$49,MATCH($C1212,Teams!$A$2:$A$49,0)),"")</f>
        <v>USA</v>
      </c>
      <c r="E1212" s="14" t="s">
        <v>361</v>
      </c>
      <c r="F1212" s="14">
        <v>15</v>
      </c>
    </row>
    <row r="1213" spans="1:6" x14ac:dyDescent="0.3">
      <c r="A1213" s="14">
        <v>1212</v>
      </c>
      <c r="B1213" s="14" t="s">
        <v>1567</v>
      </c>
      <c r="C1213" s="14">
        <v>12</v>
      </c>
      <c r="D1213" s="14" t="str">
        <f>IFERROR(INDEX(Teams!$B$2:$B$49,MATCH($C1213,Teams!$A$2:$A$49,0)),"")</f>
        <v>USA</v>
      </c>
      <c r="E1213" s="14" t="s">
        <v>356</v>
      </c>
      <c r="F1213" s="14">
        <v>16</v>
      </c>
    </row>
    <row r="1214" spans="1:6" x14ac:dyDescent="0.3">
      <c r="A1214" s="14">
        <v>1213</v>
      </c>
      <c r="B1214" s="14" t="s">
        <v>1568</v>
      </c>
      <c r="C1214" s="14">
        <v>12</v>
      </c>
      <c r="D1214" s="14" t="str">
        <f>IFERROR(INDEX(Teams!$B$2:$B$49,MATCH($C1214,Teams!$A$2:$A$49,0)),"")</f>
        <v>USA</v>
      </c>
      <c r="E1214" s="14" t="s">
        <v>361</v>
      </c>
      <c r="F1214" s="14">
        <v>17</v>
      </c>
    </row>
    <row r="1215" spans="1:6" x14ac:dyDescent="0.3">
      <c r="A1215" s="14">
        <v>1214</v>
      </c>
      <c r="B1215" s="14" t="s">
        <v>1569</v>
      </c>
      <c r="C1215" s="14">
        <v>12</v>
      </c>
      <c r="D1215" s="14" t="str">
        <f>IFERROR(INDEX(Teams!$B$2:$B$49,MATCH($C1215,Teams!$A$2:$A$49,0)),"")</f>
        <v>USA</v>
      </c>
      <c r="E1215" s="14" t="s">
        <v>356</v>
      </c>
      <c r="F1215" s="14">
        <v>18</v>
      </c>
    </row>
    <row r="1216" spans="1:6" x14ac:dyDescent="0.3">
      <c r="A1216" s="14">
        <v>1215</v>
      </c>
      <c r="B1216" s="14" t="s">
        <v>1570</v>
      </c>
      <c r="C1216" s="14">
        <v>12</v>
      </c>
      <c r="D1216" s="14" t="str">
        <f>IFERROR(INDEX(Teams!$B$2:$B$49,MATCH($C1216,Teams!$A$2:$A$49,0)),"")</f>
        <v>USA</v>
      </c>
      <c r="E1216" s="14" t="s">
        <v>363</v>
      </c>
      <c r="F1216" s="14">
        <v>19</v>
      </c>
    </row>
    <row r="1217" spans="1:6" x14ac:dyDescent="0.3">
      <c r="A1217" s="14">
        <v>1216</v>
      </c>
      <c r="B1217" s="14" t="s">
        <v>1571</v>
      </c>
      <c r="C1217" s="14">
        <v>12</v>
      </c>
      <c r="D1217" s="14" t="str">
        <f>IFERROR(INDEX(Teams!$B$2:$B$49,MATCH($C1217,Teams!$A$2:$A$49,0)),"")</f>
        <v>USA</v>
      </c>
      <c r="E1217" s="14" t="s">
        <v>363</v>
      </c>
      <c r="F1217" s="14">
        <v>20</v>
      </c>
    </row>
    <row r="1218" spans="1:6" x14ac:dyDescent="0.3">
      <c r="A1218" s="14">
        <v>1217</v>
      </c>
      <c r="B1218" s="14" t="s">
        <v>1572</v>
      </c>
      <c r="C1218" s="14">
        <v>12</v>
      </c>
      <c r="D1218" s="14" t="str">
        <f>IFERROR(INDEX(Teams!$B$2:$B$49,MATCH($C1218,Teams!$A$2:$A$49,0)),"")</f>
        <v>USA</v>
      </c>
      <c r="E1218" s="14" t="s">
        <v>363</v>
      </c>
      <c r="F1218" s="14">
        <v>21</v>
      </c>
    </row>
    <row r="1219" spans="1:6" x14ac:dyDescent="0.3">
      <c r="A1219" s="14">
        <v>1218</v>
      </c>
      <c r="B1219" s="14" t="s">
        <v>1573</v>
      </c>
      <c r="C1219" s="14">
        <v>12</v>
      </c>
      <c r="D1219" s="14" t="str">
        <f>IFERROR(INDEX(Teams!$B$2:$B$49,MATCH($C1219,Teams!$A$2:$A$49,0)),"")</f>
        <v>USA</v>
      </c>
      <c r="E1219" s="14" t="s">
        <v>356</v>
      </c>
      <c r="F1219" s="14">
        <v>22</v>
      </c>
    </row>
    <row r="1220" spans="1:6" x14ac:dyDescent="0.3">
      <c r="A1220" s="14">
        <v>1219</v>
      </c>
      <c r="B1220" s="14" t="s">
        <v>1574</v>
      </c>
      <c r="C1220" s="14">
        <v>12</v>
      </c>
      <c r="D1220" s="14" t="str">
        <f>IFERROR(INDEX(Teams!$B$2:$B$49,MATCH($C1220,Teams!$A$2:$A$49,0)),"")</f>
        <v>USA</v>
      </c>
      <c r="E1220" s="14" t="s">
        <v>356</v>
      </c>
      <c r="F1220" s="14">
        <v>23</v>
      </c>
    </row>
    <row r="1221" spans="1:6" x14ac:dyDescent="0.3">
      <c r="A1221" s="14">
        <v>1220</v>
      </c>
      <c r="B1221" s="14" t="s">
        <v>1575</v>
      </c>
      <c r="C1221" s="14">
        <v>12</v>
      </c>
      <c r="D1221" s="14" t="str">
        <f>IFERROR(INDEX(Teams!$B$2:$B$49,MATCH($C1221,Teams!$A$2:$A$49,0)),"")</f>
        <v>USA</v>
      </c>
      <c r="E1221" s="14" t="s">
        <v>354</v>
      </c>
      <c r="F1221" s="14">
        <v>24</v>
      </c>
    </row>
    <row r="1222" spans="1:6" x14ac:dyDescent="0.3">
      <c r="A1222" s="14">
        <v>1221</v>
      </c>
      <c r="B1222" s="14" t="s">
        <v>1576</v>
      </c>
      <c r="C1222" s="14">
        <v>12</v>
      </c>
      <c r="D1222" s="14" t="str">
        <f>IFERROR(INDEX(Teams!$B$2:$B$49,MATCH($C1222,Teams!$A$2:$A$49,0)),"")</f>
        <v>USA</v>
      </c>
      <c r="E1222" s="14" t="s">
        <v>354</v>
      </c>
      <c r="F1222" s="14">
        <v>25</v>
      </c>
    </row>
    <row r="1223" spans="1:6" x14ac:dyDescent="0.3">
      <c r="A1223" s="14">
        <v>1222</v>
      </c>
      <c r="B1223" s="14" t="s">
        <v>1577</v>
      </c>
      <c r="C1223" s="14">
        <v>12</v>
      </c>
      <c r="D1223" s="14" t="str">
        <f>IFERROR(INDEX(Teams!$B$2:$B$49,MATCH($C1223,Teams!$A$2:$A$49,0)),"")</f>
        <v>USA</v>
      </c>
      <c r="E1223" s="14" t="s">
        <v>363</v>
      </c>
      <c r="F1223" s="14">
        <v>26</v>
      </c>
    </row>
    <row r="1224" spans="1:6" x14ac:dyDescent="0.3">
      <c r="A1224" s="14">
        <v>1223</v>
      </c>
      <c r="B1224" s="14" t="s">
        <v>1578</v>
      </c>
      <c r="C1224" s="14">
        <v>48</v>
      </c>
      <c r="D1224" s="14" t="str">
        <f>IFERROR(INDEX(Teams!$B$2:$B$49,MATCH($C1224,Teams!$A$2:$A$49,0)),"")</f>
        <v>Uzbekistan</v>
      </c>
      <c r="E1224" s="14" t="s">
        <v>354</v>
      </c>
      <c r="F1224" s="14">
        <v>1</v>
      </c>
    </row>
    <row r="1225" spans="1:6" x14ac:dyDescent="0.3">
      <c r="A1225" s="14">
        <v>1224</v>
      </c>
      <c r="B1225" s="14" t="s">
        <v>1579</v>
      </c>
      <c r="C1225" s="14">
        <v>48</v>
      </c>
      <c r="D1225" s="14" t="str">
        <f>IFERROR(INDEX(Teams!$B$2:$B$49,MATCH($C1225,Teams!$A$2:$A$49,0)),"")</f>
        <v>Uzbekistan</v>
      </c>
      <c r="E1225" s="14" t="s">
        <v>356</v>
      </c>
      <c r="F1225" s="14">
        <v>2</v>
      </c>
    </row>
    <row r="1226" spans="1:6" x14ac:dyDescent="0.3">
      <c r="A1226" s="14">
        <v>1225</v>
      </c>
      <c r="B1226" s="14" t="s">
        <v>1580</v>
      </c>
      <c r="C1226" s="14">
        <v>48</v>
      </c>
      <c r="D1226" s="14" t="str">
        <f>IFERROR(INDEX(Teams!$B$2:$B$49,MATCH($C1226,Teams!$A$2:$A$49,0)),"")</f>
        <v>Uzbekistan</v>
      </c>
      <c r="E1226" s="14" t="s">
        <v>356</v>
      </c>
      <c r="F1226" s="14">
        <v>3</v>
      </c>
    </row>
    <row r="1227" spans="1:6" x14ac:dyDescent="0.3">
      <c r="A1227" s="14">
        <v>1226</v>
      </c>
      <c r="B1227" s="14" t="s">
        <v>1581</v>
      </c>
      <c r="C1227" s="14">
        <v>48</v>
      </c>
      <c r="D1227" s="14" t="str">
        <f>IFERROR(INDEX(Teams!$B$2:$B$49,MATCH($C1227,Teams!$A$2:$A$49,0)),"")</f>
        <v>Uzbekistan</v>
      </c>
      <c r="E1227" s="14" t="s">
        <v>356</v>
      </c>
      <c r="F1227" s="14">
        <v>4</v>
      </c>
    </row>
    <row r="1228" spans="1:6" x14ac:dyDescent="0.3">
      <c r="A1228" s="14">
        <v>1227</v>
      </c>
      <c r="B1228" s="14" t="s">
        <v>1582</v>
      </c>
      <c r="C1228" s="14">
        <v>48</v>
      </c>
      <c r="D1228" s="14" t="str">
        <f>IFERROR(INDEX(Teams!$B$2:$B$49,MATCH($C1228,Teams!$A$2:$A$49,0)),"")</f>
        <v>Uzbekistan</v>
      </c>
      <c r="E1228" s="14" t="s">
        <v>356</v>
      </c>
      <c r="F1228" s="14">
        <v>5</v>
      </c>
    </row>
    <row r="1229" spans="1:6" x14ac:dyDescent="0.3">
      <c r="A1229" s="14">
        <v>1228</v>
      </c>
      <c r="B1229" s="14" t="s">
        <v>1583</v>
      </c>
      <c r="C1229" s="14">
        <v>48</v>
      </c>
      <c r="D1229" s="14" t="str">
        <f>IFERROR(INDEX(Teams!$B$2:$B$49,MATCH($C1229,Teams!$A$2:$A$49,0)),"")</f>
        <v>Uzbekistan</v>
      </c>
      <c r="E1229" s="14" t="s">
        <v>361</v>
      </c>
      <c r="F1229" s="14">
        <v>6</v>
      </c>
    </row>
    <row r="1230" spans="1:6" x14ac:dyDescent="0.3">
      <c r="A1230" s="14">
        <v>1229</v>
      </c>
      <c r="B1230" s="14" t="s">
        <v>1584</v>
      </c>
      <c r="C1230" s="14">
        <v>48</v>
      </c>
      <c r="D1230" s="14" t="str">
        <f>IFERROR(INDEX(Teams!$B$2:$B$49,MATCH($C1230,Teams!$A$2:$A$49,0)),"")</f>
        <v>Uzbekistan</v>
      </c>
      <c r="E1230" s="14" t="s">
        <v>361</v>
      </c>
      <c r="F1230" s="14">
        <v>7</v>
      </c>
    </row>
    <row r="1231" spans="1:6" x14ac:dyDescent="0.3">
      <c r="A1231" s="14">
        <v>1230</v>
      </c>
      <c r="B1231" s="14" t="s">
        <v>1585</v>
      </c>
      <c r="C1231" s="14">
        <v>48</v>
      </c>
      <c r="D1231" s="14" t="str">
        <f>IFERROR(INDEX(Teams!$B$2:$B$49,MATCH($C1231,Teams!$A$2:$A$49,0)),"")</f>
        <v>Uzbekistan</v>
      </c>
      <c r="E1231" s="14" t="s">
        <v>361</v>
      </c>
      <c r="F1231" s="14">
        <v>8</v>
      </c>
    </row>
    <row r="1232" spans="1:6" x14ac:dyDescent="0.3">
      <c r="A1232" s="14">
        <v>1231</v>
      </c>
      <c r="B1232" s="14" t="s">
        <v>1586</v>
      </c>
      <c r="C1232" s="14">
        <v>48</v>
      </c>
      <c r="D1232" s="14" t="str">
        <f>IFERROR(INDEX(Teams!$B$2:$B$49,MATCH($C1232,Teams!$A$2:$A$49,0)),"")</f>
        <v>Uzbekistan</v>
      </c>
      <c r="E1232" s="14" t="s">
        <v>361</v>
      </c>
      <c r="F1232" s="14">
        <v>9</v>
      </c>
    </row>
    <row r="1233" spans="1:6" x14ac:dyDescent="0.3">
      <c r="A1233" s="14">
        <v>1232</v>
      </c>
      <c r="B1233" s="14" t="s">
        <v>1587</v>
      </c>
      <c r="C1233" s="14">
        <v>48</v>
      </c>
      <c r="D1233" s="14" t="str">
        <f>IFERROR(INDEX(Teams!$B$2:$B$49,MATCH($C1233,Teams!$A$2:$A$49,0)),"")</f>
        <v>Uzbekistan</v>
      </c>
      <c r="E1233" s="14" t="s">
        <v>361</v>
      </c>
      <c r="F1233" s="14">
        <v>10</v>
      </c>
    </row>
    <row r="1234" spans="1:6" x14ac:dyDescent="0.3">
      <c r="A1234" s="14">
        <v>1233</v>
      </c>
      <c r="B1234" s="14" t="s">
        <v>1588</v>
      </c>
      <c r="C1234" s="14">
        <v>48</v>
      </c>
      <c r="D1234" s="14" t="str">
        <f>IFERROR(INDEX(Teams!$B$2:$B$49,MATCH($C1234,Teams!$A$2:$A$49,0)),"")</f>
        <v>Uzbekistan</v>
      </c>
      <c r="E1234" s="14" t="s">
        <v>361</v>
      </c>
      <c r="F1234" s="14">
        <v>11</v>
      </c>
    </row>
    <row r="1235" spans="1:6" x14ac:dyDescent="0.3">
      <c r="A1235" s="14">
        <v>1234</v>
      </c>
      <c r="B1235" s="14" t="s">
        <v>1589</v>
      </c>
      <c r="C1235" s="14">
        <v>48</v>
      </c>
      <c r="D1235" s="14" t="str">
        <f>IFERROR(INDEX(Teams!$B$2:$B$49,MATCH($C1235,Teams!$A$2:$A$49,0)),"")</f>
        <v>Uzbekistan</v>
      </c>
      <c r="E1235" s="14" t="s">
        <v>354</v>
      </c>
      <c r="F1235" s="14">
        <v>12</v>
      </c>
    </row>
    <row r="1236" spans="1:6" x14ac:dyDescent="0.3">
      <c r="A1236" s="14">
        <v>1235</v>
      </c>
      <c r="B1236" s="14" t="s">
        <v>1590</v>
      </c>
      <c r="C1236" s="14">
        <v>48</v>
      </c>
      <c r="D1236" s="14" t="str">
        <f>IFERROR(INDEX(Teams!$B$2:$B$49,MATCH($C1236,Teams!$A$2:$A$49,0)),"")</f>
        <v>Uzbekistan</v>
      </c>
      <c r="E1236" s="14" t="s">
        <v>356</v>
      </c>
      <c r="F1236" s="14">
        <v>13</v>
      </c>
    </row>
    <row r="1237" spans="1:6" x14ac:dyDescent="0.3">
      <c r="A1237" s="14">
        <v>1236</v>
      </c>
      <c r="B1237" s="14" t="s">
        <v>1591</v>
      </c>
      <c r="C1237" s="14">
        <v>48</v>
      </c>
      <c r="D1237" s="14" t="str">
        <f>IFERROR(INDEX(Teams!$B$2:$B$49,MATCH($C1237,Teams!$A$2:$A$49,0)),"")</f>
        <v>Uzbekistan</v>
      </c>
      <c r="E1237" s="14" t="s">
        <v>363</v>
      </c>
      <c r="F1237" s="14">
        <v>14</v>
      </c>
    </row>
    <row r="1238" spans="1:6" x14ac:dyDescent="0.3">
      <c r="A1238" s="14">
        <v>1237</v>
      </c>
      <c r="B1238" s="14" t="s">
        <v>1592</v>
      </c>
      <c r="C1238" s="14">
        <v>48</v>
      </c>
      <c r="D1238" s="14" t="str">
        <f>IFERROR(INDEX(Teams!$B$2:$B$49,MATCH($C1238,Teams!$A$2:$A$49,0)),"")</f>
        <v>Uzbekistan</v>
      </c>
      <c r="E1238" s="14" t="s">
        <v>356</v>
      </c>
      <c r="F1238" s="14">
        <v>15</v>
      </c>
    </row>
    <row r="1239" spans="1:6" x14ac:dyDescent="0.3">
      <c r="A1239" s="14">
        <v>1238</v>
      </c>
      <c r="B1239" s="14" t="s">
        <v>1593</v>
      </c>
      <c r="C1239" s="14">
        <v>48</v>
      </c>
      <c r="D1239" s="14" t="str">
        <f>IFERROR(INDEX(Teams!$B$2:$B$49,MATCH($C1239,Teams!$A$2:$A$49,0)),"")</f>
        <v>Uzbekistan</v>
      </c>
      <c r="E1239" s="14" t="s">
        <v>354</v>
      </c>
      <c r="F1239" s="14">
        <v>16</v>
      </c>
    </row>
    <row r="1240" spans="1:6" x14ac:dyDescent="0.3">
      <c r="A1240" s="14">
        <v>1239</v>
      </c>
      <c r="B1240" s="14" t="s">
        <v>1594</v>
      </c>
      <c r="C1240" s="14">
        <v>48</v>
      </c>
      <c r="D1240" s="14" t="str">
        <f>IFERROR(INDEX(Teams!$B$2:$B$49,MATCH($C1240,Teams!$A$2:$A$49,0)),"")</f>
        <v>Uzbekistan</v>
      </c>
      <c r="E1240" s="14" t="s">
        <v>361</v>
      </c>
      <c r="F1240" s="14">
        <v>17</v>
      </c>
    </row>
    <row r="1241" spans="1:6" x14ac:dyDescent="0.3">
      <c r="A1241" s="14">
        <v>1240</v>
      </c>
      <c r="B1241" s="14" t="s">
        <v>1595</v>
      </c>
      <c r="C1241" s="14">
        <v>48</v>
      </c>
      <c r="D1241" s="14" t="str">
        <f>IFERROR(INDEX(Teams!$B$2:$B$49,MATCH($C1241,Teams!$A$2:$A$49,0)),"")</f>
        <v>Uzbekistan</v>
      </c>
      <c r="E1241" s="14" t="s">
        <v>356</v>
      </c>
      <c r="F1241" s="14">
        <v>18</v>
      </c>
    </row>
    <row r="1242" spans="1:6" x14ac:dyDescent="0.3">
      <c r="A1242" s="14">
        <v>1241</v>
      </c>
      <c r="B1242" s="14" t="s">
        <v>1596</v>
      </c>
      <c r="C1242" s="14">
        <v>48</v>
      </c>
      <c r="D1242" s="14" t="str">
        <f>IFERROR(INDEX(Teams!$B$2:$B$49,MATCH($C1242,Teams!$A$2:$A$49,0)),"")</f>
        <v>Uzbekistan</v>
      </c>
      <c r="E1242" s="14" t="s">
        <v>361</v>
      </c>
      <c r="F1242" s="14">
        <v>19</v>
      </c>
    </row>
    <row r="1243" spans="1:6" x14ac:dyDescent="0.3">
      <c r="A1243" s="14">
        <v>1242</v>
      </c>
      <c r="B1243" s="14" t="s">
        <v>1597</v>
      </c>
      <c r="C1243" s="14">
        <v>48</v>
      </c>
      <c r="D1243" s="14" t="str">
        <f>IFERROR(INDEX(Teams!$B$2:$B$49,MATCH($C1243,Teams!$A$2:$A$49,0)),"")</f>
        <v>Uzbekistan</v>
      </c>
      <c r="E1243" s="14" t="s">
        <v>363</v>
      </c>
      <c r="F1243" s="14">
        <v>20</v>
      </c>
    </row>
    <row r="1244" spans="1:6" x14ac:dyDescent="0.3">
      <c r="A1244" s="14">
        <v>1243</v>
      </c>
      <c r="B1244" s="14" t="s">
        <v>1598</v>
      </c>
      <c r="C1244" s="14">
        <v>48</v>
      </c>
      <c r="D1244" s="14" t="str">
        <f>IFERROR(INDEX(Teams!$B$2:$B$49,MATCH($C1244,Teams!$A$2:$A$49,0)),"")</f>
        <v>Uzbekistan</v>
      </c>
      <c r="E1244" s="14" t="s">
        <v>363</v>
      </c>
      <c r="F1244" s="14">
        <v>21</v>
      </c>
    </row>
    <row r="1245" spans="1:6" x14ac:dyDescent="0.3">
      <c r="A1245" s="14">
        <v>1244</v>
      </c>
      <c r="B1245" s="14" t="s">
        <v>1599</v>
      </c>
      <c r="C1245" s="14">
        <v>48</v>
      </c>
      <c r="D1245" s="14" t="str">
        <f>IFERROR(INDEX(Teams!$B$2:$B$49,MATCH($C1245,Teams!$A$2:$A$49,0)),"")</f>
        <v>Uzbekistan</v>
      </c>
      <c r="E1245" s="14" t="s">
        <v>361</v>
      </c>
      <c r="F1245" s="14">
        <v>22</v>
      </c>
    </row>
    <row r="1246" spans="1:6" x14ac:dyDescent="0.3">
      <c r="A1246" s="14">
        <v>1245</v>
      </c>
      <c r="B1246" s="14" t="s">
        <v>1600</v>
      </c>
      <c r="C1246" s="14">
        <v>48</v>
      </c>
      <c r="D1246" s="14" t="str">
        <f>IFERROR(INDEX(Teams!$B$2:$B$49,MATCH($C1246,Teams!$A$2:$A$49,0)),"")</f>
        <v>Uzbekistan</v>
      </c>
      <c r="E1246" s="14" t="s">
        <v>361</v>
      </c>
      <c r="F1246" s="14">
        <v>23</v>
      </c>
    </row>
    <row r="1247" spans="1:6" x14ac:dyDescent="0.3">
      <c r="A1247" s="14">
        <v>1246</v>
      </c>
      <c r="B1247" s="14" t="s">
        <v>1601</v>
      </c>
      <c r="C1247" s="14">
        <v>48</v>
      </c>
      <c r="D1247" s="14" t="str">
        <f>IFERROR(INDEX(Teams!$B$2:$B$49,MATCH($C1247,Teams!$A$2:$A$49,0)),"")</f>
        <v>Uzbekistan</v>
      </c>
      <c r="E1247" s="14" t="s">
        <v>356</v>
      </c>
      <c r="F1247" s="14">
        <v>24</v>
      </c>
    </row>
    <row r="1248" spans="1:6" x14ac:dyDescent="0.3">
      <c r="A1248" s="14">
        <v>1247</v>
      </c>
      <c r="B1248" s="14" t="s">
        <v>1602</v>
      </c>
      <c r="C1248" s="14">
        <v>48</v>
      </c>
      <c r="D1248" s="14" t="str">
        <f>IFERROR(INDEX(Teams!$B$2:$B$49,MATCH($C1248,Teams!$A$2:$A$49,0)),"")</f>
        <v>Uzbekistan</v>
      </c>
      <c r="E1248" s="14" t="s">
        <v>356</v>
      </c>
      <c r="F1248" s="14">
        <v>25</v>
      </c>
    </row>
    <row r="1249" spans="1:6" x14ac:dyDescent="0.3">
      <c r="A1249" s="14">
        <v>1248</v>
      </c>
      <c r="B1249" s="14" t="s">
        <v>1603</v>
      </c>
      <c r="C1249" s="14">
        <v>48</v>
      </c>
      <c r="D1249" s="14" t="str">
        <f>IFERROR(INDEX(Teams!$B$2:$B$49,MATCH($C1249,Teams!$A$2:$A$49,0)),"")</f>
        <v>Uzbekistan</v>
      </c>
      <c r="E1249" s="14" t="s">
        <v>356</v>
      </c>
      <c r="F1249" s="14">
        <v>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2" customWidth="1"/>
    <col min="3" max="3" width="26" customWidth="1"/>
    <col min="4" max="4" width="12" customWidth="1"/>
    <col min="5" max="5" width="11" customWidth="1"/>
  </cols>
  <sheetData>
    <row r="1" spans="1:5" x14ac:dyDescent="0.3">
      <c r="A1" s="13" t="s">
        <v>30</v>
      </c>
      <c r="B1" s="13" t="s">
        <v>174</v>
      </c>
      <c r="C1" s="13" t="s">
        <v>32</v>
      </c>
      <c r="D1" s="13" t="s">
        <v>1604</v>
      </c>
      <c r="E1" s="13" t="s">
        <v>1605</v>
      </c>
    </row>
    <row r="2" spans="1:5" x14ac:dyDescent="0.3">
      <c r="A2" s="14">
        <v>1</v>
      </c>
      <c r="B2" s="14" t="s">
        <v>1606</v>
      </c>
      <c r="C2" s="14" t="s">
        <v>1607</v>
      </c>
      <c r="D2" s="14" t="s">
        <v>106</v>
      </c>
      <c r="E2" s="14">
        <v>43036</v>
      </c>
    </row>
    <row r="3" spans="1:5" x14ac:dyDescent="0.3">
      <c r="A3" s="14">
        <v>2</v>
      </c>
      <c r="B3" s="14" t="s">
        <v>1608</v>
      </c>
      <c r="C3" s="14" t="s">
        <v>1609</v>
      </c>
      <c r="D3" s="14" t="s">
        <v>106</v>
      </c>
      <c r="E3" s="14">
        <v>52497</v>
      </c>
    </row>
    <row r="4" spans="1:5" x14ac:dyDescent="0.3">
      <c r="A4" s="14">
        <v>3</v>
      </c>
      <c r="B4" s="14" t="s">
        <v>1610</v>
      </c>
      <c r="C4" s="14" t="s">
        <v>1611</v>
      </c>
      <c r="D4" s="14" t="s">
        <v>85</v>
      </c>
      <c r="E4" s="14">
        <v>80824</v>
      </c>
    </row>
    <row r="5" spans="1:5" x14ac:dyDescent="0.3">
      <c r="A5" s="14">
        <v>4</v>
      </c>
      <c r="B5" s="14" t="s">
        <v>1612</v>
      </c>
      <c r="C5" s="14" t="s">
        <v>1613</v>
      </c>
      <c r="D5" s="14" t="s">
        <v>85</v>
      </c>
      <c r="E5" s="14">
        <v>45664</v>
      </c>
    </row>
    <row r="6" spans="1:5" x14ac:dyDescent="0.3">
      <c r="A6" s="14">
        <v>5</v>
      </c>
      <c r="B6" s="14" t="s">
        <v>1614</v>
      </c>
      <c r="C6" s="14" t="s">
        <v>1615</v>
      </c>
      <c r="D6" s="14" t="s">
        <v>85</v>
      </c>
      <c r="E6" s="14">
        <v>51243</v>
      </c>
    </row>
    <row r="7" spans="1:5" x14ac:dyDescent="0.3">
      <c r="A7" s="14">
        <v>6</v>
      </c>
      <c r="B7" s="14" t="s">
        <v>1616</v>
      </c>
      <c r="C7" s="14" t="s">
        <v>1617</v>
      </c>
      <c r="D7" s="14" t="s">
        <v>97</v>
      </c>
      <c r="E7" s="14">
        <v>68239</v>
      </c>
    </row>
    <row r="8" spans="1:5" x14ac:dyDescent="0.3">
      <c r="A8" s="14">
        <v>7</v>
      </c>
      <c r="B8" s="14" t="s">
        <v>1618</v>
      </c>
      <c r="C8" s="14" t="s">
        <v>1619</v>
      </c>
      <c r="D8" s="14" t="s">
        <v>97</v>
      </c>
      <c r="E8" s="14">
        <v>64146</v>
      </c>
    </row>
    <row r="9" spans="1:5" x14ac:dyDescent="0.3">
      <c r="A9" s="14">
        <v>8</v>
      </c>
      <c r="B9" s="14" t="s">
        <v>1620</v>
      </c>
      <c r="C9" s="14" t="s">
        <v>1621</v>
      </c>
      <c r="D9" s="14" t="s">
        <v>97</v>
      </c>
      <c r="E9" s="14">
        <v>70649</v>
      </c>
    </row>
    <row r="10" spans="1:5" x14ac:dyDescent="0.3">
      <c r="A10" s="14">
        <v>9</v>
      </c>
      <c r="B10" s="14" t="s">
        <v>1622</v>
      </c>
      <c r="C10" s="14" t="s">
        <v>1623</v>
      </c>
      <c r="D10" s="14" t="s">
        <v>97</v>
      </c>
      <c r="E10" s="14">
        <v>68777</v>
      </c>
    </row>
    <row r="11" spans="1:5" x14ac:dyDescent="0.3">
      <c r="A11" s="14">
        <v>10</v>
      </c>
      <c r="B11" s="14" t="s">
        <v>1624</v>
      </c>
      <c r="C11" s="14" t="s">
        <v>1625</v>
      </c>
      <c r="D11" s="14" t="s">
        <v>97</v>
      </c>
      <c r="E11" s="14">
        <v>69045</v>
      </c>
    </row>
    <row r="12" spans="1:5" x14ac:dyDescent="0.3">
      <c r="A12" s="14">
        <v>11</v>
      </c>
      <c r="B12" s="14" t="s">
        <v>1626</v>
      </c>
      <c r="C12" s="14" t="s">
        <v>1627</v>
      </c>
      <c r="D12" s="14" t="s">
        <v>97</v>
      </c>
      <c r="E12" s="14">
        <v>70492</v>
      </c>
    </row>
    <row r="13" spans="1:5" x14ac:dyDescent="0.3">
      <c r="A13" s="14">
        <v>12</v>
      </c>
      <c r="B13" s="14" t="s">
        <v>1628</v>
      </c>
      <c r="C13" s="14" t="s">
        <v>1629</v>
      </c>
      <c r="D13" s="14" t="s">
        <v>97</v>
      </c>
      <c r="E13" s="14">
        <v>64478</v>
      </c>
    </row>
    <row r="14" spans="1:5" x14ac:dyDescent="0.3">
      <c r="A14" s="14">
        <v>13</v>
      </c>
      <c r="B14" s="14" t="s">
        <v>1630</v>
      </c>
      <c r="C14" s="14" t="s">
        <v>1631</v>
      </c>
      <c r="D14" s="14" t="s">
        <v>97</v>
      </c>
      <c r="E14" s="14">
        <v>80663</v>
      </c>
    </row>
    <row r="15" spans="1:5" x14ac:dyDescent="0.3">
      <c r="A15" s="14">
        <v>14</v>
      </c>
      <c r="B15" s="14" t="s">
        <v>1632</v>
      </c>
      <c r="C15" s="14" t="s">
        <v>1633</v>
      </c>
      <c r="D15" s="14" t="s">
        <v>97</v>
      </c>
      <c r="E15" s="14">
        <v>68324</v>
      </c>
    </row>
    <row r="16" spans="1:5" x14ac:dyDescent="0.3">
      <c r="A16" s="14">
        <v>15</v>
      </c>
      <c r="B16" s="14" t="s">
        <v>1634</v>
      </c>
      <c r="C16" s="14" t="s">
        <v>1635</v>
      </c>
      <c r="D16" s="14" t="s">
        <v>97</v>
      </c>
      <c r="E16" s="14">
        <v>68827</v>
      </c>
    </row>
    <row r="17" spans="1:5" x14ac:dyDescent="0.3">
      <c r="A17" s="14">
        <v>16</v>
      </c>
      <c r="B17" s="14" t="s">
        <v>1636</v>
      </c>
      <c r="C17" s="14" t="s">
        <v>1637</v>
      </c>
      <c r="D17" s="14" t="s">
        <v>97</v>
      </c>
      <c r="E17" s="14">
        <v>66925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PivotTables</vt:lpstr>
      <vt:lpstr>Teams</vt:lpstr>
      <vt:lpstr>Matches</vt:lpstr>
      <vt:lpstr>MatchTeamStats</vt:lpstr>
      <vt:lpstr>Goals</vt:lpstr>
      <vt:lpstr>Players</vt:lpstr>
      <vt:lpstr>Stadiums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Elhosary</cp:lastModifiedBy>
  <cp:revision>1</cp:revision>
  <dcterms:created xsi:type="dcterms:W3CDTF">2026-09-13T16:51:15Z</dcterms:created>
  <dcterms:modified xsi:type="dcterms:W3CDTF">2026-09-13T16:54:08Z</dcterms:modified>
  <dc:language>en-US</dc:language>
</cp:coreProperties>
</file>